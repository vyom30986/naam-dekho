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or Catalog" sheetId="1" state="visible" r:id="rId3"/>
    <sheet name="Scanner Modules" sheetId="2" state="visible" r:id="rId4"/>
    <sheet name="Cost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<sst xmlns="http://schemas.openxmlformats.org/spreadsheetml/2006/main" count="689" uniqueCount="445">
  <si>
    <t xml:space="preserve">Naam Dekho — Connector Catalog</t>
  </si>
  <si>
    <t xml:space="preserve">Single source of truth for every external connector used by the platform. Update this file when a new source is added or pricing changes.</t>
  </si>
  <si>
    <t xml:space="preserve">Category</t>
  </si>
  <si>
    <t xml:space="preserve">Source / Connector</t>
  </si>
  <si>
    <t xml:space="preserve">Primary URL</t>
  </si>
  <si>
    <t xml:space="preserve">Access Method</t>
  </si>
  <si>
    <t xml:space="preserve">Free Tier</t>
  </si>
  <si>
    <t xml:space="preserve">Paid Tier (₹/USD)</t>
  </si>
  <si>
    <t xml:space="preserve">Rate Limit</t>
  </si>
  <si>
    <t xml:space="preserve">Auth Type</t>
  </si>
  <si>
    <t xml:space="preserve">Implementation Notes</t>
  </si>
  <si>
    <t xml:space="preserve">CATEGORY</t>
  </si>
  <si>
    <t xml:space="preserve">Legal</t>
  </si>
  <si>
    <t xml:space="preserve">MCA21 — Ministry of Corporate Affairs</t>
  </si>
  <si>
    <t xml:space="preserve">https://www.mca.gov.in/mcafoportal/showCheckCompanyName.do</t>
  </si>
  <si>
    <t xml:space="preserve">Web scraping (no public API)</t>
  </si>
  <si>
    <t xml:space="preserve">Free (manual)</t>
  </si>
  <si>
    <t xml:space="preserve">—</t>
  </si>
  <si>
    <t xml:space="preserve">~3 req/sec advisable</t>
  </si>
  <si>
    <t xml:space="preserve">Session cookie + CAPTCHA</t>
  </si>
  <si>
    <t xml:space="preserve">Use Playwright with warmed sessions. CAPTCHA via 2Captcha for deep tier.</t>
  </si>
  <si>
    <t xml:space="preserve">IP India — Trademark register (45 classes)</t>
  </si>
  <si>
    <t xml:space="preserve">https://ipindiaonline.gov.in/tmrpublicsearch/frmmain.aspx</t>
  </si>
  <si>
    <t xml:space="preserve">~2 req/sec advisable</t>
  </si>
  <si>
    <t xml:space="preserve">Session + CAPTCHA</t>
  </si>
  <si>
    <t xml:space="preserve">Wordmark + Phonetic search. CAPTCHA solving via Anti-Captcha for deep tier.</t>
  </si>
  <si>
    <t xml:space="preserve">Copyright Office — Register of Copyrights</t>
  </si>
  <si>
    <t xml:space="preserve">https://copyright.gov.in/CRPublicSearch/PublicSearch.aspx</t>
  </si>
  <si>
    <t xml:space="preserve">Web scraping</t>
  </si>
  <si>
    <t xml:space="preserve">Free</t>
  </si>
  <si>
    <t xml:space="preserve">None / session</t>
  </si>
  <si>
    <t xml:space="preserve">Search by title. Slower endpoint — cache results 7 days.</t>
  </si>
  <si>
    <t xml:space="preserve">GST common portal (trade-name search)</t>
  </si>
  <si>
    <t xml:space="preserve">https://services.gst.gov.in/services/searchtp</t>
  </si>
  <si>
    <t xml:space="preserve">~5 req/sec advisable</t>
  </si>
  <si>
    <t xml:space="preserve">Session cookie</t>
  </si>
  <si>
    <t xml:space="preserve">Per-state search. Use state code matrix. Cache 24h.</t>
  </si>
  <si>
    <t xml:space="preserve">DPIIT Startup India recognition register</t>
  </si>
  <si>
    <t xml:space="preserve">https://www.startupindia.gov.in/content/sih/en/search.html</t>
  </si>
  <si>
    <t xml:space="preserve">None</t>
  </si>
  <si>
    <t xml:space="preserve">JSON endpoint available via XHR — reverse-engineer the AJAX call.</t>
  </si>
  <si>
    <t xml:space="preserve">FSSAI brand-name database</t>
  </si>
  <si>
    <t xml:space="preserve">https://foscos.fssai.gov.in/</t>
  </si>
  <si>
    <t xml:space="preserve">Session</t>
  </si>
  <si>
    <t xml:space="preserve">Relevant only for food/beverage clients. Optional category gate.</t>
  </si>
  <si>
    <t xml:space="preserve">RBI — Banks / NBFCs master list</t>
  </si>
  <si>
    <t xml:space="preserve">https://www.rbi.org.in/Scripts/BankSearchMaster.aspx</t>
  </si>
  <si>
    <t xml:space="preserve">Web scraping + static CSV</t>
  </si>
  <si>
    <t xml:space="preserve">Static — refresh daily</t>
  </si>
  <si>
    <t xml:space="preserve">Download CSV nightly. Search in-memory.</t>
  </si>
  <si>
    <t xml:space="preserve">SEBI registered intermediaries</t>
  </si>
  <si>
    <t xml:space="preserve">https://www.sebi.gov.in/sebiweb/other/OtherAction.do?doRecognised=yes</t>
  </si>
  <si>
    <t xml:space="preserve">Static — refresh weekly</t>
  </si>
  <si>
    <t xml:space="preserve">Bulk export available. Index by company name.</t>
  </si>
  <si>
    <t xml:space="preserve">IRDAI insurer register</t>
  </si>
  <si>
    <t xml:space="preserve">https://www.irdai.gov.in/</t>
  </si>
  <si>
    <t xml:space="preserve">Static — refresh monthly</t>
  </si>
  <si>
    <t xml:space="preserve">Tiny dataset. In-memory fuzzy match.</t>
  </si>
  <si>
    <t xml:space="preserve">Patent Office — Applicant index</t>
  </si>
  <si>
    <t xml:space="preserve">https://search.ipindia.gov.in/IPOPatentSearch/PatentSearch/</t>
  </si>
  <si>
    <t xml:space="preserve">~2 req/sec</t>
  </si>
  <si>
    <t xml:space="preserve">Useful for prior-use evidence. CAPTCHA-gated.</t>
  </si>
  <si>
    <t xml:space="preserve">Trademarkia API (3rd-party fallback)</t>
  </si>
  <si>
    <t xml:space="preserve">https://www.trademarkia.com/api</t>
  </si>
  <si>
    <t xml:space="preserve">REST API</t>
  </si>
  <si>
    <t xml:space="preserve">USD 99/month basic</t>
  </si>
  <si>
    <t xml:space="preserve">1000 req/day</t>
  </si>
  <si>
    <t xml:space="preserve">API key</t>
  </si>
  <si>
    <t xml:space="preserve">Useful when IP India is down. Coverage incomplete for Indian classes.</t>
  </si>
  <si>
    <t xml:space="preserve">Domains</t>
  </si>
  <si>
    <t xml:space="preserve">WHOIS (raw protocol)</t>
  </si>
  <si>
    <t xml:space="preserve">https://www.iana.org/whois</t>
  </si>
  <si>
    <t xml:space="preserve">TCP port 43</t>
  </si>
  <si>
    <t xml:space="preserve">~5 req/sec per server</t>
  </si>
  <si>
    <t xml:space="preserve">Standard whois server map. Use python-whois or node-whois library.</t>
  </si>
  <si>
    <t xml:space="preserve">RDAP (modern WHOIS replacement)</t>
  </si>
  <si>
    <t xml:space="preserve">https://rdap.org/</t>
  </si>
  <si>
    <t xml:space="preserve">REST/JSON</t>
  </si>
  <si>
    <t xml:space="preserve">Generous (varies)</t>
  </si>
  <si>
    <t xml:space="preserve">Preferred over WHOIS where available. JSON response is structured.</t>
  </si>
  <si>
    <t xml:space="preserve">GoDaddy API</t>
  </si>
  <si>
    <t xml:space="preserve">https://developer.godaddy.com/</t>
  </si>
  <si>
    <t xml:space="preserve">Free dev tier</t>
  </si>
  <si>
    <t xml:space="preserve">Production requires affiliate agreement</t>
  </si>
  <si>
    <t xml:space="preserve">60 req/min</t>
  </si>
  <si>
    <t xml:space="preserve">API key + secret</t>
  </si>
  <si>
    <t xml:space="preserve">Use for live price + availability. Affiliate program for revenue share.</t>
  </si>
  <si>
    <t xml:space="preserve">Namecheap API</t>
  </si>
  <si>
    <t xml:space="preserve">https://www.namecheap.com/support/api/</t>
  </si>
  <si>
    <t xml:space="preserve">Free (requires $50 account balance OR 50 domains/year)</t>
  </si>
  <si>
    <t xml:space="preserve">30 req/min</t>
  </si>
  <si>
    <t xml:space="preserve">API key + whitelisted IP</t>
  </si>
  <si>
    <t xml:space="preserve">Cheaper TLDs. Whitelist all production IPs.</t>
  </si>
  <si>
    <t xml:space="preserve">WhoisXML API</t>
  </si>
  <si>
    <t xml:space="preserve">https://www.whoisxmlapi.com/</t>
  </si>
  <si>
    <t xml:space="preserve">500 req/month free</t>
  </si>
  <si>
    <t xml:space="preserve">USD 19+/month from 1k req</t>
  </si>
  <si>
    <t xml:space="preserve">Tier-dependent</t>
  </si>
  <si>
    <t xml:space="preserve">Use as fallback. Good for bulk WHOIS lookups.</t>
  </si>
  <si>
    <t xml:space="preserve">Domainr API</t>
  </si>
  <si>
    <t xml:space="preserve">https://domainr.com/docs/api</t>
  </si>
  <si>
    <t xml:space="preserve">USD 25/month from 10k req</t>
  </si>
  <si>
    <t xml:space="preserve">API key (RapidAPI)</t>
  </si>
  <si>
    <t xml:space="preserve">Best UX for availability + suggestions. Pay-as-you-go via RapidAPI.</t>
  </si>
  <si>
    <t xml:space="preserve">INRegistry (.in / .co.in)</t>
  </si>
  <si>
    <t xml:space="preserve">https://registry.in/</t>
  </si>
  <si>
    <t xml:space="preserve">Web (no public API)</t>
  </si>
  <si>
    <t xml:space="preserve">Free WHOIS</t>
  </si>
  <si>
    <t xml:space="preserve">Use WHOIS protocol</t>
  </si>
  <si>
    <t xml:space="preserve">Use whois.registry.in via port 43.</t>
  </si>
  <si>
    <t xml:space="preserve">Cloudflare Registrar (at-cost)</t>
  </si>
  <si>
    <t xml:space="preserve">https://api.cloudflare.com/</t>
  </si>
  <si>
    <t xml:space="preserve">Free tier</t>
  </si>
  <si>
    <t xml:space="preserve">At-cost domain pricing</t>
  </si>
  <si>
    <t xml:space="preserve">1200 req/5min</t>
  </si>
  <si>
    <t xml:space="preserve">API token</t>
  </si>
  <si>
    <t xml:space="preserve">Cheap registration if user has CF account. Limited TLDs.</t>
  </si>
  <si>
    <t xml:space="preserve">Social</t>
  </si>
  <si>
    <t xml:space="preserve">Instagram Graph API</t>
  </si>
  <si>
    <t xml:space="preserve">https://developers.facebook.com/docs/instagram-api/</t>
  </si>
  <si>
    <t xml:space="preserve">Free with Meta dev account</t>
  </si>
  <si>
    <t xml:space="preserve">200 req/hr (basic)</t>
  </si>
  <si>
    <t xml:space="preserve">OAuth 2.0</t>
  </si>
  <si>
    <t xml:space="preserve">For handle resolution use public profile URL HTTP HEAD check, not Graph API.</t>
  </si>
  <si>
    <t xml:space="preserve">X (Twitter) API v2</t>
  </si>
  <si>
    <t xml:space="preserve">https://developer.x.com/</t>
  </si>
  <si>
    <t xml:space="preserve">Limited (1500 reads/month Free tier)</t>
  </si>
  <si>
    <t xml:space="preserve">USD 200/month Basic; USD 5000+ Pro</t>
  </si>
  <si>
    <t xml:space="preserve">OAuth 2.0 / Bearer</t>
  </si>
  <si>
    <t xml:space="preserve">Use lookup by username endpoint. Free tier insufficient for production volume.</t>
  </si>
  <si>
    <t xml:space="preserve">YouTube Data API v3</t>
  </si>
  <si>
    <t xml:space="preserve">https://developers.google.com/youtube/v3</t>
  </si>
  <si>
    <t xml:space="preserve">10,000 units/day free</t>
  </si>
  <si>
    <t xml:space="preserve">1 unit per channel lookup</t>
  </si>
  <si>
    <t xml:space="preserve">Channel handle search. Cache aggressively.</t>
  </si>
  <si>
    <t xml:space="preserve">LinkedIn API</t>
  </si>
  <si>
    <t xml:space="preserve">https://developer.linkedin.com/</t>
  </si>
  <si>
    <t xml:space="preserve">Restricted partner access only</t>
  </si>
  <si>
    <t xml:space="preserve">Partner tier</t>
  </si>
  <si>
    <t xml:space="preserve">Partner-tier</t>
  </si>
  <si>
    <t xml:space="preserve">No public company-name availability API. Use unauthenticated URL probe.</t>
  </si>
  <si>
    <t xml:space="preserve">Facebook Graph API</t>
  </si>
  <si>
    <t xml:space="preserve">https://developers.facebook.com/docs/graph-api/</t>
  </si>
  <si>
    <t xml:space="preserve">200 req/hr</t>
  </si>
  <si>
    <t xml:space="preserve">Page slug availability via HTTP probe on facebook.com/&lt;slug&gt;.</t>
  </si>
  <si>
    <t xml:space="preserve">Threads API (Meta)</t>
  </si>
  <si>
    <t xml:space="preserve">https://developers.facebook.com/docs/threads/</t>
  </si>
  <si>
    <t xml:space="preserve">Free (preview)</t>
  </si>
  <si>
    <t xml:space="preserve">Per Meta dev limits</t>
  </si>
  <si>
    <t xml:space="preserve">Limited preview. Fall back to public URL probe.</t>
  </si>
  <si>
    <t xml:space="preserve">Telegram Bot API</t>
  </si>
  <si>
    <t xml:space="preserve">https://core.telegram.org/bots/api</t>
  </si>
  <si>
    <t xml:space="preserve">30 req/sec global</t>
  </si>
  <si>
    <t xml:space="preserve">Bot token</t>
  </si>
  <si>
    <t xml:space="preserve">getChat method returns channel/group existence. Free.</t>
  </si>
  <si>
    <t xml:space="preserve">WhatsApp Business API (Meta)</t>
  </si>
  <si>
    <t xml:space="preserve">https://business.whatsapp.com/products/business-platform</t>
  </si>
  <si>
    <t xml:space="preserve">Free dev sandbox</t>
  </si>
  <si>
    <t xml:space="preserve">USD 0.005–0.05 per conversation</t>
  </si>
  <si>
    <t xml:space="preserve">Per Meta limits</t>
  </si>
  <si>
    <t xml:space="preserve">OAuth + business verification</t>
  </si>
  <si>
    <t xml:space="preserve">Display-name availability via business directory.</t>
  </si>
  <si>
    <t xml:space="preserve">Pinterest API</t>
  </si>
  <si>
    <t xml:space="preserve">https://developers.pinterest.com/</t>
  </si>
  <si>
    <t xml:space="preserve">200 req/hr standard</t>
  </si>
  <si>
    <t xml:space="preserve">Business profile slug check.</t>
  </si>
  <si>
    <t xml:space="preserve">Marketplace</t>
  </si>
  <si>
    <t xml:space="preserve">google-play-scraper (npm)</t>
  </si>
  <si>
    <t xml:space="preserve">https://github.com/facundoolano/google-play-scraper</t>
  </si>
  <si>
    <t xml:space="preserve">Web scraping library</t>
  </si>
  <si>
    <t xml:space="preserve">Free / open source</t>
  </si>
  <si>
    <t xml:space="preserve">Self-throttle to ~1 req/sec</t>
  </si>
  <si>
    <t xml:space="preserve">Reliable. Use search() then exact-match check on title field.</t>
  </si>
  <si>
    <t xml:space="preserve">Apple iTunes Search API</t>
  </si>
  <si>
    <t xml:space="preserve">https://itunes.apple.com/search?term=&amp;entity=software</t>
  </si>
  <si>
    <t xml:space="preserve">REST/JSON (public)</t>
  </si>
  <si>
    <t xml:space="preserve">20 req/min</t>
  </si>
  <si>
    <t xml:space="preserve">Public endpoint, no key. Filter by trackName.</t>
  </si>
  <si>
    <t xml:space="preserve">Product Hunt API v2 (GraphQL)</t>
  </si>
  <si>
    <t xml:space="preserve">https://api.producthunt.com/v2/docs</t>
  </si>
  <si>
    <t xml:space="preserve">GraphQL</t>
  </si>
  <si>
    <t xml:space="preserve">Free with OAuth</t>
  </si>
  <si>
    <t xml:space="preserve">450 req/15min</t>
  </si>
  <si>
    <t xml:space="preserve">Strict on rate. Cache product names 1 day.</t>
  </si>
  <si>
    <t xml:space="preserve">GitHub REST API</t>
  </si>
  <si>
    <t xml:space="preserve">https://docs.github.com/en/rest</t>
  </si>
  <si>
    <t xml:space="preserve">5000 req/hr (auth)</t>
  </si>
  <si>
    <t xml:space="preserve">Enterprise plans</t>
  </si>
  <si>
    <t xml:space="preserve">5000 req/hr authenticated</t>
  </si>
  <si>
    <t xml:space="preserve">Personal access token</t>
  </si>
  <si>
    <t xml:space="preserve">GET /users/&lt;name&gt; returns 404 if free, 200 if taken.</t>
  </si>
  <si>
    <t xml:space="preserve">Shopify subdomain probe</t>
  </si>
  <si>
    <t xml:space="preserve">https://shopify.dev/api</t>
  </si>
  <si>
    <t xml:space="preserve">DNS / HTTP HEAD</t>
  </si>
  <si>
    <t xml:space="preserve">Self-throttle</t>
  </si>
  <si>
    <t xml:space="preserve">Resolve &lt;name&gt;.myshopify.com — 200 = taken, NXDOMAIN = free.</t>
  </si>
  <si>
    <t xml:space="preserve">Amazon (3rd-party scraping)</t>
  </si>
  <si>
    <t xml:space="preserve">https://www.amazon.in/</t>
  </si>
  <si>
    <t xml:space="preserve">Web scraping via ScrapingBee or Bright Data</t>
  </si>
  <si>
    <t xml:space="preserve">USD 49+/month (ScrapingBee)</t>
  </si>
  <si>
    <t xml:space="preserve">Provider-dependent</t>
  </si>
  <si>
    <t xml:space="preserve">Provider API key</t>
  </si>
  <si>
    <t xml:space="preserve">No public seller-search API. Use ScrapingBee with rendered JS.</t>
  </si>
  <si>
    <t xml:space="preserve">Flipkart (3rd-party scraping)</t>
  </si>
  <si>
    <t xml:space="preserve">https://www.flipkart.com/</t>
  </si>
  <si>
    <t xml:space="preserve">Web scraping via Bright Data</t>
  </si>
  <si>
    <t xml:space="preserve">USD 500+/month enterprise</t>
  </si>
  <si>
    <t xml:space="preserve">Brand Registry lookup. Heavy bot detection — needs residential proxies.</t>
  </si>
  <si>
    <t xml:space="preserve">Brand/SEO</t>
  </si>
  <si>
    <t xml:space="preserve">Google Custom Search JSON API</t>
  </si>
  <si>
    <t xml:space="preserve">https://developers.google.com/custom-search/v1/overview</t>
  </si>
  <si>
    <t xml:space="preserve">100 queries/day free</t>
  </si>
  <si>
    <t xml:space="preserve">USD 5 per 1k queries (up to 10k/day)</t>
  </si>
  <si>
    <t xml:space="preserve">10k req/day max</t>
  </si>
  <si>
    <t xml:space="preserve">API key + CX ID</t>
  </si>
  <si>
    <t xml:space="preserve">Use for exact-match SERP probe. Filter by gl=in (India locale).</t>
  </si>
  <si>
    <t xml:space="preserve">SerpAPI</t>
  </si>
  <si>
    <t xml:space="preserve">https://serpapi.com/</t>
  </si>
  <si>
    <t xml:space="preserve">100 searches/month free</t>
  </si>
  <si>
    <t xml:space="preserve">USD 50/month from 5k</t>
  </si>
  <si>
    <t xml:space="preserve">Easier than Google CSE for full SERP. Has Google Trends endpoint too.</t>
  </si>
  <si>
    <t xml:space="preserve">ScrapingBee</t>
  </si>
  <si>
    <t xml:space="preserve">https://www.scrapingbee.com/</t>
  </si>
  <si>
    <t xml:space="preserve">Proxy-rotating scraper</t>
  </si>
  <si>
    <t xml:space="preserve">1000 free credits</t>
  </si>
  <si>
    <t xml:space="preserve">USD 49+/month</t>
  </si>
  <si>
    <t xml:space="preserve">Per-credit</t>
  </si>
  <si>
    <t xml:space="preserve">Use for headless-render-needed sources (Amazon, dynamic pages).</t>
  </si>
  <si>
    <t xml:space="preserve">Bright Data</t>
  </si>
  <si>
    <t xml:space="preserve">https://brightdata.com/</t>
  </si>
  <si>
    <t xml:space="preserve">Residential proxies + Web Unlocker</t>
  </si>
  <si>
    <t xml:space="preserve">Volume-based</t>
  </si>
  <si>
    <t xml:space="preserve">Account + zone token</t>
  </si>
  <si>
    <t xml:space="preserve">Most robust — residential IPs. For deep tier where reliability matters.</t>
  </si>
  <si>
    <t xml:space="preserve">Wikipedia MediaWiki API</t>
  </si>
  <si>
    <t xml:space="preserve">https://en.wikipedia.org/w/api.php</t>
  </si>
  <si>
    <t xml:space="preserve">200 req/sec polite</t>
  </si>
  <si>
    <t xml:space="preserve">Concept-page existence check. No key required.</t>
  </si>
  <si>
    <t xml:space="preserve">Wikidata SPARQL endpoint</t>
  </si>
  <si>
    <t xml:space="preserve">https://query.wikidata.org/sparql</t>
  </si>
  <si>
    <t xml:space="preserve">SPARQL/REST</t>
  </si>
  <si>
    <t xml:space="preserve">60 req/min polite</t>
  </si>
  <si>
    <t xml:space="preserve">Structured entity data. Useful for disambiguation.</t>
  </si>
  <si>
    <t xml:space="preserve">pytrends (unofficial Google Trends)</t>
  </si>
  <si>
    <t xml:space="preserve">https://github.com/GeneralMills/pytrends</t>
  </si>
  <si>
    <t xml:space="preserve">Python library</t>
  </si>
  <si>
    <t xml:space="preserve">Self-throttle ~1 req/sec</t>
  </si>
  <si>
    <t xml:space="preserve">Unofficial. Use sparingly to avoid Google IP block. Fallback: SerpAPI Trends.</t>
  </si>
  <si>
    <t xml:space="preserve">Crunchbase Basic API</t>
  </si>
  <si>
    <t xml:space="preserve">https://data.crunchbase.com/</t>
  </si>
  <si>
    <t xml:space="preserve">Funded-startup name conflicts. Paid only.</t>
  </si>
  <si>
    <t xml:space="preserve">Tracxn (no public API)</t>
  </si>
  <si>
    <t xml:space="preserve">https://tracxn.com/</t>
  </si>
  <si>
    <t xml:space="preserve">Manual UI only</t>
  </si>
  <si>
    <t xml:space="preserve">Enterprise contract</t>
  </si>
  <si>
    <t xml:space="preserve">Manual lookup or enterprise data deal. Skip for v1.</t>
  </si>
  <si>
    <t xml:space="preserve">Linguistic</t>
  </si>
  <si>
    <t xml:space="preserve">Bhashini API (Govt of India)</t>
  </si>
  <si>
    <t xml:space="preserve">https://bhashini.gov.in/ulca/</t>
  </si>
  <si>
    <t xml:space="preserve">Free (with registration)</t>
  </si>
  <si>
    <t xml:space="preserve">Per-allocation</t>
  </si>
  <si>
    <t xml:space="preserve">Account token</t>
  </si>
  <si>
    <t xml:space="preserve">ULCA platform. Translation, transliteration, ASR for all 22 scheduled languages.</t>
  </si>
  <si>
    <t xml:space="preserve">Indic NLP Library</t>
  </si>
  <si>
    <t xml:space="preserve">https://github.com/anoopkunchukuttan/indic_nlp_library</t>
  </si>
  <si>
    <t xml:space="preserve">Local</t>
  </si>
  <si>
    <t xml:space="preserve">Self-host. Tokenization, normalization, transliteration.</t>
  </si>
  <si>
    <t xml:space="preserve">Aksharamukha (transliteration)</t>
  </si>
  <si>
    <t xml:space="preserve">http://aksharamukha.appspot.com/</t>
  </si>
  <si>
    <t xml:space="preserve">REST/JSON + library</t>
  </si>
  <si>
    <t xml:space="preserve">Polite (~5/sec)</t>
  </si>
  <si>
    <t xml:space="preserve">Best-in-class Indic script transliteration. ISO 15919 compliant.</t>
  </si>
  <si>
    <t xml:space="preserve">Google Cloud Translation API</t>
  </si>
  <si>
    <t xml:space="preserve">https://cloud.google.com/translate/docs</t>
  </si>
  <si>
    <t xml:space="preserve">500k chars/month free</t>
  </si>
  <si>
    <t xml:space="preserve">USD 20 per 1M chars</t>
  </si>
  <si>
    <t xml:space="preserve">API key + GCP project</t>
  </si>
  <si>
    <t xml:space="preserve">Fallback for unusual languages.</t>
  </si>
  <si>
    <t xml:space="preserve">ICU4J / PyICU (transliteration)</t>
  </si>
  <si>
    <t xml:space="preserve">https://icu.unicode.org/</t>
  </si>
  <si>
    <t xml:space="preserve">Library</t>
  </si>
  <si>
    <t xml:space="preserve">Industrial-strength Unicode transliteration. Use for normalisation.</t>
  </si>
  <si>
    <t xml:space="preserve">Custom Chaldean numerology engine</t>
  </si>
  <si>
    <t xml:space="preserve">internal://numerology</t>
  </si>
  <si>
    <t xml:space="preserve">Internal library (Python)</t>
  </si>
  <si>
    <t xml:space="preserve">Free (proprietary)</t>
  </si>
  <si>
    <t xml:space="preserve">Letter→digit mapping, compound, root, planet, industry-fit. Pure Python.</t>
  </si>
  <si>
    <t xml:space="preserve">Infra</t>
  </si>
  <si>
    <t xml:space="preserve">2Captcha (CAPTCHA solving)</t>
  </si>
  <si>
    <t xml:space="preserve">https://2captcha.com/</t>
  </si>
  <si>
    <t xml:space="preserve">USD 2.99 per 1k reCAPTCHA v2 / USD 2.99 per 1k normal</t>
  </si>
  <si>
    <t xml:space="preserve">Volume</t>
  </si>
  <si>
    <t xml:space="preserve">Used by deep-scan tier. Average solve time 15–30s.</t>
  </si>
  <si>
    <t xml:space="preserve">Anti-Captcha</t>
  </si>
  <si>
    <t xml:space="preserve">https://anti-captcha.com/</t>
  </si>
  <si>
    <t xml:space="preserve">USD 2.00 per 1k normal / USD 2.00 per 1k reCAPTCHA v2</t>
  </si>
  <si>
    <t xml:space="preserve">Cheaper alternative. Slightly higher failure rate.</t>
  </si>
  <si>
    <t xml:space="preserve">CapMonster Cloud</t>
  </si>
  <si>
    <t xml:space="preserve">https://capmonster.cloud/</t>
  </si>
  <si>
    <t xml:space="preserve">USD 0.50–1.50 per 1k</t>
  </si>
  <si>
    <t xml:space="preserve">Cheapest. Use as failover if quality is acceptable.</t>
  </si>
  <si>
    <t xml:space="preserve">Bright Data residential proxies</t>
  </si>
  <si>
    <t xml:space="preserve">HTTP/SOCKS5 proxy</t>
  </si>
  <si>
    <t xml:space="preserve">USD 15.75 per GB pay-as-you-go</t>
  </si>
  <si>
    <t xml:space="preserve">Bandwidth-based</t>
  </si>
  <si>
    <t xml:space="preserve">Zone token</t>
  </si>
  <si>
    <t xml:space="preserve">Residential IPs for hardest sources. Use sparingly.</t>
  </si>
  <si>
    <t xml:space="preserve">Smartproxy</t>
  </si>
  <si>
    <t xml:space="preserve">https://smartproxy.com/</t>
  </si>
  <si>
    <t xml:space="preserve">USD 7 per GB starter</t>
  </si>
  <si>
    <t xml:space="preserve">Whitelisted IP + auth</t>
  </si>
  <si>
    <t xml:space="preserve">Cheaper residential. Good for MCA, IP India.</t>
  </si>
  <si>
    <t xml:space="preserve">Redis (cache + pub/sub + queue)</t>
  </si>
  <si>
    <t xml:space="preserve">https://redis.io/</t>
  </si>
  <si>
    <t xml:space="preserve">TCP</t>
  </si>
  <si>
    <t xml:space="preserve">Free / open source / Redis Cloud free tier</t>
  </si>
  <si>
    <t xml:space="preserve">USD 7+/month managed</t>
  </si>
  <si>
    <t xml:space="preserve">Self-hosted</t>
  </si>
  <si>
    <t xml:space="preserve">TLS recommended</t>
  </si>
  <si>
    <t xml:space="preserve">Self-host or use Upstash for serverless. Core dependency.</t>
  </si>
  <si>
    <t xml:space="preserve">BullMQ (job queue, Redis-backed)</t>
  </si>
  <si>
    <t xml:space="preserve">https://docs.bullmq.io/</t>
  </si>
  <si>
    <t xml:space="preserve">Node.js library</t>
  </si>
  <si>
    <t xml:space="preserve">Same as Redis</t>
  </si>
  <si>
    <t xml:space="preserve">Priority lanes, retries, rate limits, scheduling — all built in.</t>
  </si>
  <si>
    <t xml:space="preserve">Socket.IO (WebSocket server)</t>
  </si>
  <si>
    <t xml:space="preserve">https://socket.io/</t>
  </si>
  <si>
    <t xml:space="preserve">Server resource</t>
  </si>
  <si>
    <t xml:space="preserve">Token or session</t>
  </si>
  <si>
    <t xml:space="preserve">Auto-reconnect, fallback to polling. Use Redis adapter for multi-node.</t>
  </si>
  <si>
    <t xml:space="preserve">Pusher Channels (managed real-time)</t>
  </si>
  <si>
    <t xml:space="preserve">https://pusher.com/channels/</t>
  </si>
  <si>
    <t xml:space="preserve">Hosted WebSocket service</t>
  </si>
  <si>
    <t xml:space="preserve">200k msgs/day free</t>
  </si>
  <si>
    <t xml:space="preserve">Quota</t>
  </si>
  <si>
    <t xml:space="preserve">App key + secret</t>
  </si>
  <si>
    <t xml:space="preserve">Alternative to self-hosted Socket.IO if ops bandwidth limited.</t>
  </si>
  <si>
    <t xml:space="preserve">AWS API Gateway WebSocket</t>
  </si>
  <si>
    <t xml:space="preserve">https://aws.amazon.com/api-gateway/</t>
  </si>
  <si>
    <t xml:space="preserve">Managed WebSocket</t>
  </si>
  <si>
    <t xml:space="preserve">USD 1.00 per million msgs</t>
  </si>
  <si>
    <t xml:space="preserve">IAM</t>
  </si>
  <si>
    <t xml:space="preserve">Most cost-effective at scale. Plug into Lambda or EC2.</t>
  </si>
  <si>
    <t xml:space="preserve">AWS S3 (PDF report storage)</t>
  </si>
  <si>
    <t xml:space="preserve">https://aws.amazon.com/s3/</t>
  </si>
  <si>
    <t xml:space="preserve">Object storage</t>
  </si>
  <si>
    <t xml:space="preserve">Free 5GB / 12mo</t>
  </si>
  <si>
    <t xml:space="preserve">USD 0.023 per GB/month</t>
  </si>
  <si>
    <t xml:space="preserve">Pre-signed URLs for time-limited downloads.</t>
  </si>
  <si>
    <t xml:space="preserve">Cloudflare R2 (S3-compatible)</t>
  </si>
  <si>
    <t xml:space="preserve">https://www.cloudflare.com/products/r2/</t>
  </si>
  <si>
    <t xml:space="preserve">10GB free</t>
  </si>
  <si>
    <t xml:space="preserve">USD 0.015 per GB/month</t>
  </si>
  <si>
    <t xml:space="preserve">Zero egress fees — cheaper than S3 for high download.</t>
  </si>
  <si>
    <t xml:space="preserve">Auth/Pay</t>
  </si>
  <si>
    <t xml:space="preserve">Firebase Authentication (phone + OTP)</t>
  </si>
  <si>
    <t xml:space="preserve">https://firebase.google.com/docs/auth/web/phone-auth</t>
  </si>
  <si>
    <t xml:space="preserve">SDK + REST</t>
  </si>
  <si>
    <t xml:space="preserve">Free up to 10k verifications/mo</t>
  </si>
  <si>
    <t xml:space="preserve">USD 0.01–0.06 per SMS</t>
  </si>
  <si>
    <t xml:space="preserve">Firebase project config</t>
  </si>
  <si>
    <t xml:space="preserve">Phone OTP for sign-in. Works globally. Recaptcha-protected.</t>
  </si>
  <si>
    <t xml:space="preserve">MSG91 (SMS OTP — India)</t>
  </si>
  <si>
    <t xml:space="preserve">https://msg91.com/</t>
  </si>
  <si>
    <t xml:space="preserve">100 free credits trial</t>
  </si>
  <si>
    <t xml:space="preserve">₹0.18–₹0.25 per SMS</t>
  </si>
  <si>
    <t xml:space="preserve">Auth key</t>
  </si>
  <si>
    <t xml:space="preserve">Cheaper than Firebase for India-only SMS. DLT-registered.</t>
  </si>
  <si>
    <t xml:space="preserve">WhatsApp Business OTP (Meta)</t>
  </si>
  <si>
    <t xml:space="preserve">https://developers.facebook.com/docs/whatsapp/cloud-api</t>
  </si>
  <si>
    <t xml:space="preserve">₹0.30–₹0.80 per OTP message (India)</t>
  </si>
  <si>
    <t xml:space="preserve">WhatsApp Business account</t>
  </si>
  <si>
    <t xml:space="preserve">Cheaper than SMS in India. Preferred channel.</t>
  </si>
  <si>
    <t xml:space="preserve">Razorpay (payments)</t>
  </si>
  <si>
    <t xml:space="preserve">https://razorpay.com/docs/</t>
  </si>
  <si>
    <t xml:space="preserve">REST API + SDKs</t>
  </si>
  <si>
    <t xml:space="preserve">Test mode free</t>
  </si>
  <si>
    <t xml:space="preserve">2% transaction fee (UPI 0%)</t>
  </si>
  <si>
    <t xml:space="preserve">Best Indian payment gateway. UPI, cards, net banking, EMI.</t>
  </si>
  <si>
    <t xml:space="preserve">Stripe (international payments)</t>
  </si>
  <si>
    <t xml:space="preserve">https://stripe.com/docs</t>
  </si>
  <si>
    <t xml:space="preserve">2.9% + ₹3 per transaction</t>
  </si>
  <si>
    <t xml:space="preserve">API key + webhook secret</t>
  </si>
  <si>
    <t xml:space="preserve">For non-India payments and global agency clients.</t>
  </si>
  <si>
    <t xml:space="preserve">ClearTax / TaxAdda (GST e-invoice)</t>
  </si>
  <si>
    <t xml:space="preserve">https://cleartax.in/</t>
  </si>
  <si>
    <t xml:space="preserve">₹0.50–₹2.00 per invoice</t>
  </si>
  <si>
    <t xml:space="preserve">Automate GST-compliant invoicing for ₹49 and ₹999 transactions.</t>
  </si>
  <si>
    <t xml:space="preserve">Scanner Module Ownership Matrix</t>
  </si>
  <si>
    <t xml:space="preserve">Scanner Module</t>
  </si>
  <si>
    <t xml:space="preserve">Connectors Used</t>
  </si>
  <si>
    <t xml:space="preserve">Worker Pool Size</t>
  </si>
  <si>
    <t xml:space="preserve">Avg Response Time (ms)</t>
  </si>
  <si>
    <t xml:space="preserve">Cache TTL</t>
  </si>
  <si>
    <t xml:space="preserve">Owner / Squad</t>
  </si>
  <si>
    <t xml:space="preserve">Legal Scanner</t>
  </si>
  <si>
    <t xml:space="preserve">MCA, IP India, Copyright, GST, DPIIT, FSSAI, RBI, SEBI, IRDAI, Patent Office, Trademarkia (fallback)</t>
  </si>
  <si>
    <t xml:space="preserve">1800-3500</t>
  </si>
  <si>
    <t xml:space="preserve">24h for register hits; 7d for misses</t>
  </si>
  <si>
    <t xml:space="preserve">Legal-Data squad</t>
  </si>
  <si>
    <t xml:space="preserve">Domain Probe</t>
  </si>
  <si>
    <t xml:space="preserve">WHOIS, RDAP, GoDaddy, Namecheap, WhoisXML, Domainr, INRegistry, Cloudflare</t>
  </si>
  <si>
    <t xml:space="preserve">300-900</t>
  </si>
  <si>
    <t xml:space="preserve">5min for availability; 24h for pricing</t>
  </si>
  <si>
    <t xml:space="preserve">Infra squad</t>
  </si>
  <si>
    <t xml:space="preserve">Social Handle Bot</t>
  </si>
  <si>
    <t xml:space="preserve">Instagram, X, YouTube, LinkedIn, Facebook, Threads, Telegram, WhatsApp, Pinterest</t>
  </si>
  <si>
    <t xml:space="preserve">400-1200</t>
  </si>
  <si>
    <t xml:space="preserve">30min for availability</t>
  </si>
  <si>
    <t xml:space="preserve">Social-Integrations squad</t>
  </si>
  <si>
    <t xml:space="preserve">Marketplace Crawler</t>
  </si>
  <si>
    <t xml:space="preserve">google-play-scraper, iTunes Search, Product Hunt, GitHub, Shopify DNS, ScrapingBee (Amazon, Flipkart)</t>
  </si>
  <si>
    <t xml:space="preserve">600-2200</t>
  </si>
  <si>
    <t xml:space="preserve">12h for app listings; 24h for sellers</t>
  </si>
  <si>
    <t xml:space="preserve">Brand &amp; SEO Engine</t>
  </si>
  <si>
    <t xml:space="preserve">Google CSE, SerpAPI, ScrapingBee, Bright Data, Wikipedia, Wikidata, pytrends, Crunchbase</t>
  </si>
  <si>
    <t xml:space="preserve">1200-3000</t>
  </si>
  <si>
    <t xml:space="preserve">6h for SERP; 24h for Wikipedia</t>
  </si>
  <si>
    <t xml:space="preserve">Brand-Intel squad</t>
  </si>
  <si>
    <t xml:space="preserve">Linguistic + Numerology</t>
  </si>
  <si>
    <t xml:space="preserve">Bhashini, Indic NLP, Aksharamukha, ICU4J, custom Chaldean engine</t>
  </si>
  <si>
    <t xml:space="preserve">100-400</t>
  </si>
  <si>
    <t xml:space="preserve">Permanent (deterministic)</t>
  </si>
  <si>
    <t xml:space="preserve">NLP squad</t>
  </si>
  <si>
    <t xml:space="preserve">TOTAL WORKERS</t>
  </si>
  <si>
    <t xml:space="preserve">Per-Scan Cost Model — Free vs Deep Tier</t>
  </si>
  <si>
    <t xml:space="preserve">Adjust the Blue input cells to recompute. All other cells are formulas.</t>
  </si>
  <si>
    <t xml:space="preserve">Line item</t>
  </si>
  <si>
    <t xml:space="preserve">Unit cost (₹)</t>
  </si>
  <si>
    <t xml:space="preserve">Usage per Free scan</t>
  </si>
  <si>
    <t xml:space="preserve">Usage per Deep scan</t>
  </si>
  <si>
    <t xml:space="preserve">Cost per Deep scan (₹)</t>
  </si>
  <si>
    <t xml:space="preserve">CAPTCHA solve (2Captcha)</t>
  </si>
  <si>
    <t xml:space="preserve">Residential proxy bandwidth (per 100KB)</t>
  </si>
  <si>
    <t xml:space="preserve">SerpAPI call</t>
  </si>
  <si>
    <t xml:space="preserve">Google CSE call</t>
  </si>
  <si>
    <t xml:space="preserve">WhoisXML call</t>
  </si>
  <si>
    <t xml:space="preserve">SMS OTP (MSG91)</t>
  </si>
  <si>
    <t xml:space="preserve">Compute time per scan (server-seconds)</t>
  </si>
  <si>
    <t xml:space="preserve">PDF generation + storage</t>
  </si>
  <si>
    <t xml:space="preserve">Bandwidth out (Cloudflare R2 — free)</t>
  </si>
  <si>
    <t xml:space="preserve">TOTAL COGS per Deep scan</t>
  </si>
  <si>
    <t xml:space="preserve">Price (Deep Scan)</t>
  </si>
  <si>
    <t xml:space="preserve">Gross profit per Deep Scan (₹)</t>
  </si>
  <si>
    <t xml:space="preserve">Gross margin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</si>
</sst>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419"/>
      <name val="Arial"/>
      <family val="0"/>
      <charset val="1"/>
    </font>
    <font>
      <i val="true"/>
      <sz val="10"/>
      <color rgb="FF6B7480"/>
      <name val="Arial"/>
      <family val="0"/>
      <charset val="1"/>
    </font>
    <font>
      <b val="true"/>
      <sz val="10"/>
      <color rgb="FFFAF8F3"/>
      <name val="Arial"/>
      <family val="0"/>
      <charset val="1"/>
    </font>
    <font>
      <b val="true"/>
      <sz val="11"/>
      <color rgb="FFFAF8F3"/>
      <name val="Arial"/>
      <family val="0"/>
      <charset val="1"/>
    </font>
    <font>
      <sz val="10"/>
      <color rgb="FF0F1419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8A5A00"/>
      <name val="Arial"/>
      <family val="0"/>
      <charset val="1"/>
    </font>
    <font>
      <b val="true"/>
      <sz val="11"/>
      <color rgb="FFB8501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B5E2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419"/>
        <bgColor rgb="FF000000"/>
      </patternFill>
    </fill>
    <fill>
      <patternFill patternType="solid">
        <fgColor rgb="FFB8501C"/>
        <bgColor rgb="FF8A5A00"/>
      </patternFill>
    </fill>
    <fill>
      <patternFill patternType="solid">
        <fgColor rgb="FFE7F2E9"/>
        <bgColor rgb="FFFAF8F3"/>
      </patternFill>
    </fill>
    <fill>
      <patternFill patternType="solid">
        <fgColor rgb="FFFFF4D9"/>
        <bgColor rgb="FFFAF8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0BC"/>
      </left>
      <right style="thin">
        <color rgb="FFD8D0BC"/>
      </right>
      <top style="thin">
        <color rgb="FFD8D0BC"/>
      </top>
      <bottom style="thin">
        <color rgb="FFD8D0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8F3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A5A00"/>
      <rgbColor rgb="FF800080"/>
      <rgbColor rgb="FF008080"/>
      <rgbColor rgb="FFD8D0BC"/>
      <rgbColor rgb="FF808080"/>
      <rgbColor rgb="FF9999FF"/>
      <rgbColor rgb="FF993366"/>
      <rgbColor rgb="FFFFF4D9"/>
      <rgbColor rgb="FFE7F2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69696"/>
      <rgbColor rgb="FF003366"/>
      <rgbColor rgb="FF339966"/>
      <rgbColor rgb="FF0F1419"/>
      <rgbColor rgb="FF333300"/>
      <rgbColor rgb="FFB850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5" min="4" style="0" width="2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1.75" hidden="false" customHeight="tru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45.75" hidden="false" customHeight="true" outlineLevel="0" collapsed="false">
      <c r="A6" s="5" t="s">
        <v>12</v>
      </c>
      <c r="B6" s="5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5" t="s">
        <v>19</v>
      </c>
      <c r="I6" s="5" t="s">
        <v>20</v>
      </c>
    </row>
    <row r="7" customFormat="false" ht="45.75" hidden="false" customHeight="true" outlineLevel="0" collapsed="false">
      <c r="A7" s="5" t="s">
        <v>12</v>
      </c>
      <c r="B7" s="5" t="s">
        <v>21</v>
      </c>
      <c r="C7" s="5" t="s">
        <v>22</v>
      </c>
      <c r="D7" s="5" t="s">
        <v>15</v>
      </c>
      <c r="E7" s="6" t="s">
        <v>16</v>
      </c>
      <c r="F7" s="5" t="s">
        <v>17</v>
      </c>
      <c r="G7" s="5" t="s">
        <v>23</v>
      </c>
      <c r="H7" s="5" t="s">
        <v>24</v>
      </c>
      <c r="I7" s="5" t="s">
        <v>25</v>
      </c>
    </row>
    <row r="8" customFormat="false" ht="45.75" hidden="false" customHeight="true" outlineLevel="0" collapsed="false">
      <c r="A8" s="5" t="s">
        <v>12</v>
      </c>
      <c r="B8" s="5" t="s">
        <v>26</v>
      </c>
      <c r="C8" s="5" t="s">
        <v>27</v>
      </c>
      <c r="D8" s="5" t="s">
        <v>28</v>
      </c>
      <c r="E8" s="6" t="s">
        <v>29</v>
      </c>
      <c r="F8" s="5" t="s">
        <v>17</v>
      </c>
      <c r="G8" s="5" t="s">
        <v>23</v>
      </c>
      <c r="H8" s="5" t="s">
        <v>30</v>
      </c>
      <c r="I8" s="5" t="s">
        <v>31</v>
      </c>
    </row>
    <row r="9" customFormat="false" ht="45.75" hidden="false" customHeight="true" outlineLevel="0" collapsed="false">
      <c r="A9" s="5" t="s">
        <v>12</v>
      </c>
      <c r="B9" s="5" t="s">
        <v>32</v>
      </c>
      <c r="C9" s="5" t="s">
        <v>33</v>
      </c>
      <c r="D9" s="5" t="s">
        <v>28</v>
      </c>
      <c r="E9" s="6" t="s">
        <v>29</v>
      </c>
      <c r="F9" s="5" t="s">
        <v>17</v>
      </c>
      <c r="G9" s="5" t="s">
        <v>34</v>
      </c>
      <c r="H9" s="5" t="s">
        <v>35</v>
      </c>
      <c r="I9" s="5" t="s">
        <v>36</v>
      </c>
    </row>
    <row r="10" customFormat="false" ht="45.75" hidden="false" customHeight="true" outlineLevel="0" collapsed="false">
      <c r="A10" s="5" t="s">
        <v>12</v>
      </c>
      <c r="B10" s="5" t="s">
        <v>37</v>
      </c>
      <c r="C10" s="5" t="s">
        <v>38</v>
      </c>
      <c r="D10" s="5" t="s">
        <v>28</v>
      </c>
      <c r="E10" s="6" t="s">
        <v>29</v>
      </c>
      <c r="F10" s="5" t="s">
        <v>17</v>
      </c>
      <c r="G10" s="5" t="s">
        <v>34</v>
      </c>
      <c r="H10" s="5" t="s">
        <v>39</v>
      </c>
      <c r="I10" s="5" t="s">
        <v>40</v>
      </c>
    </row>
    <row r="11" customFormat="false" ht="45.75" hidden="false" customHeight="true" outlineLevel="0" collapsed="false">
      <c r="A11" s="5" t="s">
        <v>12</v>
      </c>
      <c r="B11" s="5" t="s">
        <v>41</v>
      </c>
      <c r="C11" s="5" t="s">
        <v>42</v>
      </c>
      <c r="D11" s="5" t="s">
        <v>28</v>
      </c>
      <c r="E11" s="6" t="s">
        <v>29</v>
      </c>
      <c r="F11" s="5" t="s">
        <v>17</v>
      </c>
      <c r="G11" s="5" t="s">
        <v>18</v>
      </c>
      <c r="H11" s="5" t="s">
        <v>43</v>
      </c>
      <c r="I11" s="5" t="s">
        <v>44</v>
      </c>
    </row>
    <row r="12" customFormat="false" ht="45.75" hidden="false" customHeight="true" outlineLevel="0" collapsed="false">
      <c r="A12" s="5" t="s">
        <v>12</v>
      </c>
      <c r="B12" s="5" t="s">
        <v>45</v>
      </c>
      <c r="C12" s="5" t="s">
        <v>46</v>
      </c>
      <c r="D12" s="5" t="s">
        <v>47</v>
      </c>
      <c r="E12" s="6" t="s">
        <v>29</v>
      </c>
      <c r="F12" s="5" t="s">
        <v>17</v>
      </c>
      <c r="G12" s="5" t="s">
        <v>48</v>
      </c>
      <c r="H12" s="5" t="s">
        <v>39</v>
      </c>
      <c r="I12" s="5" t="s">
        <v>49</v>
      </c>
    </row>
    <row r="13" customFormat="false" ht="45.75" hidden="false" customHeight="true" outlineLevel="0" collapsed="false">
      <c r="A13" s="5" t="s">
        <v>12</v>
      </c>
      <c r="B13" s="5" t="s">
        <v>50</v>
      </c>
      <c r="C13" s="5" t="s">
        <v>51</v>
      </c>
      <c r="D13" s="5" t="s">
        <v>47</v>
      </c>
      <c r="E13" s="6" t="s">
        <v>29</v>
      </c>
      <c r="F13" s="5" t="s">
        <v>17</v>
      </c>
      <c r="G13" s="5" t="s">
        <v>52</v>
      </c>
      <c r="H13" s="5" t="s">
        <v>39</v>
      </c>
      <c r="I13" s="5" t="s">
        <v>53</v>
      </c>
    </row>
    <row r="14" customFormat="false" ht="45.75" hidden="false" customHeight="true" outlineLevel="0" collapsed="false">
      <c r="A14" s="5" t="s">
        <v>12</v>
      </c>
      <c r="B14" s="5" t="s">
        <v>54</v>
      </c>
      <c r="C14" s="5" t="s">
        <v>55</v>
      </c>
      <c r="D14" s="5" t="s">
        <v>47</v>
      </c>
      <c r="E14" s="6" t="s">
        <v>29</v>
      </c>
      <c r="F14" s="5" t="s">
        <v>17</v>
      </c>
      <c r="G14" s="5" t="s">
        <v>56</v>
      </c>
      <c r="H14" s="5" t="s">
        <v>39</v>
      </c>
      <c r="I14" s="5" t="s">
        <v>57</v>
      </c>
    </row>
    <row r="15" customFormat="false" ht="45.75" hidden="false" customHeight="true" outlineLevel="0" collapsed="false">
      <c r="A15" s="5" t="s">
        <v>12</v>
      </c>
      <c r="B15" s="5" t="s">
        <v>58</v>
      </c>
      <c r="C15" s="5" t="s">
        <v>59</v>
      </c>
      <c r="D15" s="5" t="s">
        <v>28</v>
      </c>
      <c r="E15" s="6" t="s">
        <v>29</v>
      </c>
      <c r="F15" s="5" t="s">
        <v>17</v>
      </c>
      <c r="G15" s="5" t="s">
        <v>60</v>
      </c>
      <c r="H15" s="5" t="s">
        <v>24</v>
      </c>
      <c r="I15" s="5" t="s">
        <v>61</v>
      </c>
    </row>
    <row r="16" customFormat="false" ht="45.75" hidden="false" customHeight="true" outlineLevel="0" collapsed="false">
      <c r="A16" s="5" t="s">
        <v>12</v>
      </c>
      <c r="B16" s="5" t="s">
        <v>62</v>
      </c>
      <c r="C16" s="5" t="s">
        <v>63</v>
      </c>
      <c r="D16" s="5" t="s">
        <v>64</v>
      </c>
      <c r="E16" s="5" t="s">
        <v>17</v>
      </c>
      <c r="F16" s="7" t="s">
        <v>65</v>
      </c>
      <c r="G16" s="5" t="s">
        <v>66</v>
      </c>
      <c r="H16" s="5" t="s">
        <v>67</v>
      </c>
      <c r="I16" s="5" t="s">
        <v>68</v>
      </c>
    </row>
    <row r="17" customFormat="false" ht="21.75" hidden="false" customHeight="true" outlineLevel="0" collapsed="false">
      <c r="A17" s="4" t="s">
        <v>11</v>
      </c>
      <c r="B17" s="4"/>
      <c r="C17" s="4"/>
      <c r="D17" s="4"/>
      <c r="E17" s="4"/>
      <c r="F17" s="4"/>
      <c r="G17" s="4"/>
      <c r="H17" s="4"/>
      <c r="I17" s="4"/>
    </row>
    <row r="18" customFormat="false" ht="45.75" hidden="false" customHeight="true" outlineLevel="0" collapsed="false">
      <c r="A18" s="5" t="s">
        <v>69</v>
      </c>
      <c r="B18" s="5" t="s">
        <v>70</v>
      </c>
      <c r="C18" s="5" t="s">
        <v>71</v>
      </c>
      <c r="D18" s="5" t="s">
        <v>72</v>
      </c>
      <c r="E18" s="6" t="s">
        <v>29</v>
      </c>
      <c r="F18" s="5" t="s">
        <v>17</v>
      </c>
      <c r="G18" s="5" t="s">
        <v>73</v>
      </c>
      <c r="H18" s="5" t="s">
        <v>39</v>
      </c>
      <c r="I18" s="5" t="s">
        <v>74</v>
      </c>
    </row>
    <row r="19" customFormat="false" ht="45.75" hidden="false" customHeight="true" outlineLevel="0" collapsed="false">
      <c r="A19" s="5" t="s">
        <v>69</v>
      </c>
      <c r="B19" s="5" t="s">
        <v>75</v>
      </c>
      <c r="C19" s="5" t="s">
        <v>76</v>
      </c>
      <c r="D19" s="5" t="s">
        <v>77</v>
      </c>
      <c r="E19" s="6" t="s">
        <v>29</v>
      </c>
      <c r="F19" s="5" t="s">
        <v>17</v>
      </c>
      <c r="G19" s="5" t="s">
        <v>78</v>
      </c>
      <c r="H19" s="5" t="s">
        <v>39</v>
      </c>
      <c r="I19" s="5" t="s">
        <v>79</v>
      </c>
    </row>
    <row r="20" customFormat="false" ht="45.75" hidden="false" customHeight="true" outlineLevel="0" collapsed="false">
      <c r="A20" s="5" t="s">
        <v>69</v>
      </c>
      <c r="B20" s="5" t="s">
        <v>80</v>
      </c>
      <c r="C20" s="5" t="s">
        <v>81</v>
      </c>
      <c r="D20" s="5" t="s">
        <v>64</v>
      </c>
      <c r="E20" s="6" t="s">
        <v>82</v>
      </c>
      <c r="F20" s="7" t="s">
        <v>83</v>
      </c>
      <c r="G20" s="5" t="s">
        <v>84</v>
      </c>
      <c r="H20" s="5" t="s">
        <v>85</v>
      </c>
      <c r="I20" s="5" t="s">
        <v>86</v>
      </c>
    </row>
    <row r="21" customFormat="false" ht="45.75" hidden="false" customHeight="true" outlineLevel="0" collapsed="false">
      <c r="A21" s="5" t="s">
        <v>69</v>
      </c>
      <c r="B21" s="5" t="s">
        <v>87</v>
      </c>
      <c r="C21" s="5" t="s">
        <v>88</v>
      </c>
      <c r="D21" s="5" t="s">
        <v>64</v>
      </c>
      <c r="E21" s="6" t="s">
        <v>89</v>
      </c>
      <c r="F21" s="5" t="s">
        <v>17</v>
      </c>
      <c r="G21" s="5" t="s">
        <v>90</v>
      </c>
      <c r="H21" s="5" t="s">
        <v>91</v>
      </c>
      <c r="I21" s="5" t="s">
        <v>92</v>
      </c>
    </row>
    <row r="22" customFormat="false" ht="45.75" hidden="false" customHeight="true" outlineLevel="0" collapsed="false">
      <c r="A22" s="5" t="s">
        <v>69</v>
      </c>
      <c r="B22" s="5" t="s">
        <v>93</v>
      </c>
      <c r="C22" s="5" t="s">
        <v>94</v>
      </c>
      <c r="D22" s="5" t="s">
        <v>64</v>
      </c>
      <c r="E22" s="6" t="s">
        <v>95</v>
      </c>
      <c r="F22" s="7" t="s">
        <v>96</v>
      </c>
      <c r="G22" s="5" t="s">
        <v>97</v>
      </c>
      <c r="H22" s="5" t="s">
        <v>67</v>
      </c>
      <c r="I22" s="5" t="s">
        <v>98</v>
      </c>
    </row>
    <row r="23" customFormat="false" ht="45.75" hidden="false" customHeight="true" outlineLevel="0" collapsed="false">
      <c r="A23" s="5" t="s">
        <v>69</v>
      </c>
      <c r="B23" s="5" t="s">
        <v>99</v>
      </c>
      <c r="C23" s="5" t="s">
        <v>100</v>
      </c>
      <c r="D23" s="5" t="s">
        <v>64</v>
      </c>
      <c r="E23" s="5" t="s">
        <v>17</v>
      </c>
      <c r="F23" s="7" t="s">
        <v>101</v>
      </c>
      <c r="G23" s="5" t="s">
        <v>97</v>
      </c>
      <c r="H23" s="5" t="s">
        <v>102</v>
      </c>
      <c r="I23" s="5" t="s">
        <v>103</v>
      </c>
    </row>
    <row r="24" customFormat="false" ht="45.75" hidden="false" customHeight="true" outlineLevel="0" collapsed="false">
      <c r="A24" s="5" t="s">
        <v>69</v>
      </c>
      <c r="B24" s="5" t="s">
        <v>104</v>
      </c>
      <c r="C24" s="5" t="s">
        <v>105</v>
      </c>
      <c r="D24" s="5" t="s">
        <v>106</v>
      </c>
      <c r="E24" s="6" t="s">
        <v>107</v>
      </c>
      <c r="F24" s="5" t="s">
        <v>17</v>
      </c>
      <c r="G24" s="5" t="s">
        <v>108</v>
      </c>
      <c r="H24" s="5" t="s">
        <v>39</v>
      </c>
      <c r="I24" s="5" t="s">
        <v>109</v>
      </c>
    </row>
    <row r="25" customFormat="false" ht="45.75" hidden="false" customHeight="true" outlineLevel="0" collapsed="false">
      <c r="A25" s="5" t="s">
        <v>69</v>
      </c>
      <c r="B25" s="5" t="s">
        <v>110</v>
      </c>
      <c r="C25" s="5" t="s">
        <v>111</v>
      </c>
      <c r="D25" s="5" t="s">
        <v>64</v>
      </c>
      <c r="E25" s="6" t="s">
        <v>112</v>
      </c>
      <c r="F25" s="7" t="s">
        <v>113</v>
      </c>
      <c r="G25" s="5" t="s">
        <v>114</v>
      </c>
      <c r="H25" s="5" t="s">
        <v>115</v>
      </c>
      <c r="I25" s="5" t="s">
        <v>116</v>
      </c>
    </row>
    <row r="26" customFormat="false" ht="21.75" hidden="false" customHeight="true" outlineLevel="0" collapsed="false">
      <c r="A26" s="4" t="s">
        <v>11</v>
      </c>
      <c r="B26" s="4"/>
      <c r="C26" s="4"/>
      <c r="D26" s="4"/>
      <c r="E26" s="4"/>
      <c r="F26" s="4"/>
      <c r="G26" s="4"/>
      <c r="H26" s="4"/>
      <c r="I26" s="4"/>
    </row>
    <row r="27" customFormat="false" ht="45.75" hidden="false" customHeight="true" outlineLevel="0" collapsed="false">
      <c r="A27" s="5" t="s">
        <v>117</v>
      </c>
      <c r="B27" s="5" t="s">
        <v>118</v>
      </c>
      <c r="C27" s="5" t="s">
        <v>119</v>
      </c>
      <c r="D27" s="5" t="s">
        <v>64</v>
      </c>
      <c r="E27" s="6" t="s">
        <v>120</v>
      </c>
      <c r="F27" s="5" t="s">
        <v>17</v>
      </c>
      <c r="G27" s="5" t="s">
        <v>121</v>
      </c>
      <c r="H27" s="5" t="s">
        <v>122</v>
      </c>
      <c r="I27" s="5" t="s">
        <v>123</v>
      </c>
    </row>
    <row r="28" customFormat="false" ht="45.75" hidden="false" customHeight="true" outlineLevel="0" collapsed="false">
      <c r="A28" s="5" t="s">
        <v>117</v>
      </c>
      <c r="B28" s="5" t="s">
        <v>124</v>
      </c>
      <c r="C28" s="5" t="s">
        <v>125</v>
      </c>
      <c r="D28" s="5" t="s">
        <v>64</v>
      </c>
      <c r="E28" s="6" t="s">
        <v>126</v>
      </c>
      <c r="F28" s="7" t="s">
        <v>127</v>
      </c>
      <c r="G28" s="5" t="s">
        <v>97</v>
      </c>
      <c r="H28" s="5" t="s">
        <v>128</v>
      </c>
      <c r="I28" s="5" t="s">
        <v>129</v>
      </c>
    </row>
    <row r="29" customFormat="false" ht="45.75" hidden="false" customHeight="true" outlineLevel="0" collapsed="false">
      <c r="A29" s="5" t="s">
        <v>117</v>
      </c>
      <c r="B29" s="5" t="s">
        <v>130</v>
      </c>
      <c r="C29" s="5" t="s">
        <v>131</v>
      </c>
      <c r="D29" s="5" t="s">
        <v>64</v>
      </c>
      <c r="E29" s="6" t="s">
        <v>132</v>
      </c>
      <c r="F29" s="5" t="s">
        <v>17</v>
      </c>
      <c r="G29" s="5" t="s">
        <v>133</v>
      </c>
      <c r="H29" s="5" t="s">
        <v>67</v>
      </c>
      <c r="I29" s="5" t="s">
        <v>134</v>
      </c>
    </row>
    <row r="30" customFormat="false" ht="45.75" hidden="false" customHeight="true" outlineLevel="0" collapsed="false">
      <c r="A30" s="5" t="s">
        <v>117</v>
      </c>
      <c r="B30" s="5" t="s">
        <v>135</v>
      </c>
      <c r="C30" s="5" t="s">
        <v>136</v>
      </c>
      <c r="D30" s="5" t="s">
        <v>64</v>
      </c>
      <c r="E30" s="6" t="s">
        <v>137</v>
      </c>
      <c r="F30" s="7" t="s">
        <v>138</v>
      </c>
      <c r="G30" s="5" t="s">
        <v>139</v>
      </c>
      <c r="H30" s="5" t="s">
        <v>122</v>
      </c>
      <c r="I30" s="5" t="s">
        <v>140</v>
      </c>
    </row>
    <row r="31" customFormat="false" ht="45.75" hidden="false" customHeight="true" outlineLevel="0" collapsed="false">
      <c r="A31" s="5" t="s">
        <v>117</v>
      </c>
      <c r="B31" s="5" t="s">
        <v>141</v>
      </c>
      <c r="C31" s="5" t="s">
        <v>142</v>
      </c>
      <c r="D31" s="5" t="s">
        <v>64</v>
      </c>
      <c r="E31" s="6" t="s">
        <v>120</v>
      </c>
      <c r="F31" s="5" t="s">
        <v>17</v>
      </c>
      <c r="G31" s="5" t="s">
        <v>143</v>
      </c>
      <c r="H31" s="5" t="s">
        <v>122</v>
      </c>
      <c r="I31" s="5" t="s">
        <v>144</v>
      </c>
    </row>
    <row r="32" customFormat="false" ht="45.75" hidden="false" customHeight="true" outlineLevel="0" collapsed="false">
      <c r="A32" s="5" t="s">
        <v>117</v>
      </c>
      <c r="B32" s="5" t="s">
        <v>145</v>
      </c>
      <c r="C32" s="5" t="s">
        <v>146</v>
      </c>
      <c r="D32" s="5" t="s">
        <v>64</v>
      </c>
      <c r="E32" s="6" t="s">
        <v>147</v>
      </c>
      <c r="F32" s="5" t="s">
        <v>17</v>
      </c>
      <c r="G32" s="5" t="s">
        <v>148</v>
      </c>
      <c r="H32" s="5" t="s">
        <v>122</v>
      </c>
      <c r="I32" s="5" t="s">
        <v>149</v>
      </c>
    </row>
    <row r="33" customFormat="false" ht="45.75" hidden="false" customHeight="true" outlineLevel="0" collapsed="false">
      <c r="A33" s="5" t="s">
        <v>117</v>
      </c>
      <c r="B33" s="5" t="s">
        <v>150</v>
      </c>
      <c r="C33" s="5" t="s">
        <v>151</v>
      </c>
      <c r="D33" s="5" t="s">
        <v>64</v>
      </c>
      <c r="E33" s="6" t="s">
        <v>29</v>
      </c>
      <c r="F33" s="5" t="s">
        <v>17</v>
      </c>
      <c r="G33" s="5" t="s">
        <v>152</v>
      </c>
      <c r="H33" s="5" t="s">
        <v>153</v>
      </c>
      <c r="I33" s="5" t="s">
        <v>154</v>
      </c>
    </row>
    <row r="34" customFormat="false" ht="45.75" hidden="false" customHeight="true" outlineLevel="0" collapsed="false">
      <c r="A34" s="5" t="s">
        <v>117</v>
      </c>
      <c r="B34" s="5" t="s">
        <v>155</v>
      </c>
      <c r="C34" s="5" t="s">
        <v>156</v>
      </c>
      <c r="D34" s="5" t="s">
        <v>64</v>
      </c>
      <c r="E34" s="6" t="s">
        <v>157</v>
      </c>
      <c r="F34" s="7" t="s">
        <v>158</v>
      </c>
      <c r="G34" s="5" t="s">
        <v>159</v>
      </c>
      <c r="H34" s="5" t="s">
        <v>160</v>
      </c>
      <c r="I34" s="5" t="s">
        <v>161</v>
      </c>
    </row>
    <row r="35" customFormat="false" ht="45.75" hidden="false" customHeight="true" outlineLevel="0" collapsed="false">
      <c r="A35" s="5" t="s">
        <v>117</v>
      </c>
      <c r="B35" s="5" t="s">
        <v>162</v>
      </c>
      <c r="C35" s="5" t="s">
        <v>163</v>
      </c>
      <c r="D35" s="5" t="s">
        <v>64</v>
      </c>
      <c r="E35" s="6" t="s">
        <v>29</v>
      </c>
      <c r="F35" s="5" t="s">
        <v>17</v>
      </c>
      <c r="G35" s="5" t="s">
        <v>164</v>
      </c>
      <c r="H35" s="5" t="s">
        <v>122</v>
      </c>
      <c r="I35" s="5" t="s">
        <v>165</v>
      </c>
    </row>
    <row r="36" customFormat="false" ht="21.75" hidden="false" customHeight="true" outlineLevel="0" collapsed="false">
      <c r="A36" s="4" t="s">
        <v>11</v>
      </c>
      <c r="B36" s="4"/>
      <c r="C36" s="4"/>
      <c r="D36" s="4"/>
      <c r="E36" s="4"/>
      <c r="F36" s="4"/>
      <c r="G36" s="4"/>
      <c r="H36" s="4"/>
      <c r="I36" s="4"/>
    </row>
    <row r="37" customFormat="false" ht="45.75" hidden="false" customHeight="true" outlineLevel="0" collapsed="false">
      <c r="A37" s="5" t="s">
        <v>166</v>
      </c>
      <c r="B37" s="5" t="s">
        <v>167</v>
      </c>
      <c r="C37" s="5" t="s">
        <v>168</v>
      </c>
      <c r="D37" s="5" t="s">
        <v>169</v>
      </c>
      <c r="E37" s="6" t="s">
        <v>170</v>
      </c>
      <c r="F37" s="5" t="s">
        <v>17</v>
      </c>
      <c r="G37" s="5" t="s">
        <v>171</v>
      </c>
      <c r="H37" s="5" t="s">
        <v>39</v>
      </c>
      <c r="I37" s="5" t="s">
        <v>172</v>
      </c>
    </row>
    <row r="38" customFormat="false" ht="45.75" hidden="false" customHeight="true" outlineLevel="0" collapsed="false">
      <c r="A38" s="5" t="s">
        <v>166</v>
      </c>
      <c r="B38" s="5" t="s">
        <v>173</v>
      </c>
      <c r="C38" s="5" t="s">
        <v>174</v>
      </c>
      <c r="D38" s="5" t="s">
        <v>175</v>
      </c>
      <c r="E38" s="6" t="s">
        <v>29</v>
      </c>
      <c r="F38" s="5" t="s">
        <v>17</v>
      </c>
      <c r="G38" s="5" t="s">
        <v>176</v>
      </c>
      <c r="H38" s="5" t="s">
        <v>39</v>
      </c>
      <c r="I38" s="5" t="s">
        <v>177</v>
      </c>
    </row>
    <row r="39" customFormat="false" ht="45.75" hidden="false" customHeight="true" outlineLevel="0" collapsed="false">
      <c r="A39" s="5" t="s">
        <v>166</v>
      </c>
      <c r="B39" s="5" t="s">
        <v>178</v>
      </c>
      <c r="C39" s="5" t="s">
        <v>179</v>
      </c>
      <c r="D39" s="5" t="s">
        <v>180</v>
      </c>
      <c r="E39" s="6" t="s">
        <v>181</v>
      </c>
      <c r="F39" s="5" t="s">
        <v>17</v>
      </c>
      <c r="G39" s="5" t="s">
        <v>182</v>
      </c>
      <c r="H39" s="5" t="s">
        <v>122</v>
      </c>
      <c r="I39" s="5" t="s">
        <v>183</v>
      </c>
    </row>
    <row r="40" customFormat="false" ht="45.75" hidden="false" customHeight="true" outlineLevel="0" collapsed="false">
      <c r="A40" s="5" t="s">
        <v>166</v>
      </c>
      <c r="B40" s="5" t="s">
        <v>184</v>
      </c>
      <c r="C40" s="5" t="s">
        <v>185</v>
      </c>
      <c r="D40" s="5" t="s">
        <v>77</v>
      </c>
      <c r="E40" s="6" t="s">
        <v>186</v>
      </c>
      <c r="F40" s="7" t="s">
        <v>187</v>
      </c>
      <c r="G40" s="5" t="s">
        <v>188</v>
      </c>
      <c r="H40" s="5" t="s">
        <v>189</v>
      </c>
      <c r="I40" s="5" t="s">
        <v>190</v>
      </c>
    </row>
    <row r="41" customFormat="false" ht="45.75" hidden="false" customHeight="true" outlineLevel="0" collapsed="false">
      <c r="A41" s="5" t="s">
        <v>166</v>
      </c>
      <c r="B41" s="5" t="s">
        <v>191</v>
      </c>
      <c r="C41" s="5" t="s">
        <v>192</v>
      </c>
      <c r="D41" s="5" t="s">
        <v>193</v>
      </c>
      <c r="E41" s="6" t="s">
        <v>29</v>
      </c>
      <c r="F41" s="5" t="s">
        <v>17</v>
      </c>
      <c r="G41" s="5" t="s">
        <v>194</v>
      </c>
      <c r="H41" s="5" t="s">
        <v>39</v>
      </c>
      <c r="I41" s="5" t="s">
        <v>195</v>
      </c>
    </row>
    <row r="42" customFormat="false" ht="45.75" hidden="false" customHeight="true" outlineLevel="0" collapsed="false">
      <c r="A42" s="5" t="s">
        <v>166</v>
      </c>
      <c r="B42" s="5" t="s">
        <v>196</v>
      </c>
      <c r="C42" s="5" t="s">
        <v>197</v>
      </c>
      <c r="D42" s="5" t="s">
        <v>198</v>
      </c>
      <c r="E42" s="5" t="s">
        <v>17</v>
      </c>
      <c r="F42" s="7" t="s">
        <v>199</v>
      </c>
      <c r="G42" s="5" t="s">
        <v>200</v>
      </c>
      <c r="H42" s="5" t="s">
        <v>201</v>
      </c>
      <c r="I42" s="5" t="s">
        <v>202</v>
      </c>
    </row>
    <row r="43" customFormat="false" ht="45.75" hidden="false" customHeight="true" outlineLevel="0" collapsed="false">
      <c r="A43" s="5" t="s">
        <v>166</v>
      </c>
      <c r="B43" s="5" t="s">
        <v>203</v>
      </c>
      <c r="C43" s="5" t="s">
        <v>204</v>
      </c>
      <c r="D43" s="5" t="s">
        <v>205</v>
      </c>
      <c r="E43" s="5" t="s">
        <v>17</v>
      </c>
      <c r="F43" s="7" t="s">
        <v>206</v>
      </c>
      <c r="G43" s="5" t="s">
        <v>200</v>
      </c>
      <c r="H43" s="5" t="s">
        <v>201</v>
      </c>
      <c r="I43" s="5" t="s">
        <v>207</v>
      </c>
    </row>
    <row r="44" customFormat="false" ht="21.75" hidden="false" customHeight="true" outlineLevel="0" collapsed="false">
      <c r="A44" s="4" t="s">
        <v>11</v>
      </c>
      <c r="B44" s="4"/>
      <c r="C44" s="4"/>
      <c r="D44" s="4"/>
      <c r="E44" s="4"/>
      <c r="F44" s="4"/>
      <c r="G44" s="4"/>
      <c r="H44" s="4"/>
      <c r="I44" s="4"/>
    </row>
    <row r="45" customFormat="false" ht="45.75" hidden="false" customHeight="true" outlineLevel="0" collapsed="false">
      <c r="A45" s="5" t="s">
        <v>208</v>
      </c>
      <c r="B45" s="5" t="s">
        <v>209</v>
      </c>
      <c r="C45" s="5" t="s">
        <v>210</v>
      </c>
      <c r="D45" s="5" t="s">
        <v>77</v>
      </c>
      <c r="E45" s="6" t="s">
        <v>211</v>
      </c>
      <c r="F45" s="7" t="s">
        <v>212</v>
      </c>
      <c r="G45" s="5" t="s">
        <v>213</v>
      </c>
      <c r="H45" s="5" t="s">
        <v>214</v>
      </c>
      <c r="I45" s="5" t="s">
        <v>215</v>
      </c>
    </row>
    <row r="46" customFormat="false" ht="45.75" hidden="false" customHeight="true" outlineLevel="0" collapsed="false">
      <c r="A46" s="5" t="s">
        <v>208</v>
      </c>
      <c r="B46" s="5" t="s">
        <v>216</v>
      </c>
      <c r="C46" s="5" t="s">
        <v>217</v>
      </c>
      <c r="D46" s="5" t="s">
        <v>77</v>
      </c>
      <c r="E46" s="6" t="s">
        <v>218</v>
      </c>
      <c r="F46" s="7" t="s">
        <v>219</v>
      </c>
      <c r="G46" s="5" t="s">
        <v>97</v>
      </c>
      <c r="H46" s="5" t="s">
        <v>67</v>
      </c>
      <c r="I46" s="5" t="s">
        <v>220</v>
      </c>
    </row>
    <row r="47" customFormat="false" ht="45.75" hidden="false" customHeight="true" outlineLevel="0" collapsed="false">
      <c r="A47" s="5" t="s">
        <v>208</v>
      </c>
      <c r="B47" s="5" t="s">
        <v>221</v>
      </c>
      <c r="C47" s="5" t="s">
        <v>222</v>
      </c>
      <c r="D47" s="5" t="s">
        <v>223</v>
      </c>
      <c r="E47" s="6" t="s">
        <v>224</v>
      </c>
      <c r="F47" s="7" t="s">
        <v>225</v>
      </c>
      <c r="G47" s="5" t="s">
        <v>226</v>
      </c>
      <c r="H47" s="5" t="s">
        <v>67</v>
      </c>
      <c r="I47" s="5" t="s">
        <v>227</v>
      </c>
    </row>
    <row r="48" customFormat="false" ht="45.75" hidden="false" customHeight="true" outlineLevel="0" collapsed="false">
      <c r="A48" s="5" t="s">
        <v>208</v>
      </c>
      <c r="B48" s="5" t="s">
        <v>228</v>
      </c>
      <c r="C48" s="5" t="s">
        <v>229</v>
      </c>
      <c r="D48" s="5" t="s">
        <v>230</v>
      </c>
      <c r="E48" s="5" t="s">
        <v>17</v>
      </c>
      <c r="F48" s="7" t="s">
        <v>206</v>
      </c>
      <c r="G48" s="5" t="s">
        <v>231</v>
      </c>
      <c r="H48" s="5" t="s">
        <v>232</v>
      </c>
      <c r="I48" s="5" t="s">
        <v>233</v>
      </c>
    </row>
    <row r="49" customFormat="false" ht="45.75" hidden="false" customHeight="true" outlineLevel="0" collapsed="false">
      <c r="A49" s="5" t="s">
        <v>208</v>
      </c>
      <c r="B49" s="5" t="s">
        <v>234</v>
      </c>
      <c r="C49" s="5" t="s">
        <v>235</v>
      </c>
      <c r="D49" s="5" t="s">
        <v>77</v>
      </c>
      <c r="E49" s="6" t="s">
        <v>29</v>
      </c>
      <c r="F49" s="5" t="s">
        <v>17</v>
      </c>
      <c r="G49" s="5" t="s">
        <v>236</v>
      </c>
      <c r="H49" s="5" t="s">
        <v>39</v>
      </c>
      <c r="I49" s="5" t="s">
        <v>237</v>
      </c>
    </row>
    <row r="50" customFormat="false" ht="45.75" hidden="false" customHeight="true" outlineLevel="0" collapsed="false">
      <c r="A50" s="5" t="s">
        <v>208</v>
      </c>
      <c r="B50" s="5" t="s">
        <v>238</v>
      </c>
      <c r="C50" s="5" t="s">
        <v>239</v>
      </c>
      <c r="D50" s="5" t="s">
        <v>240</v>
      </c>
      <c r="E50" s="6" t="s">
        <v>29</v>
      </c>
      <c r="F50" s="5" t="s">
        <v>17</v>
      </c>
      <c r="G50" s="5" t="s">
        <v>241</v>
      </c>
      <c r="H50" s="5" t="s">
        <v>39</v>
      </c>
      <c r="I50" s="5" t="s">
        <v>242</v>
      </c>
    </row>
    <row r="51" customFormat="false" ht="45.75" hidden="false" customHeight="true" outlineLevel="0" collapsed="false">
      <c r="A51" s="5" t="s">
        <v>208</v>
      </c>
      <c r="B51" s="5" t="s">
        <v>243</v>
      </c>
      <c r="C51" s="5" t="s">
        <v>244</v>
      </c>
      <c r="D51" s="5" t="s">
        <v>245</v>
      </c>
      <c r="E51" s="6" t="s">
        <v>170</v>
      </c>
      <c r="F51" s="5" t="s">
        <v>17</v>
      </c>
      <c r="G51" s="5" t="s">
        <v>246</v>
      </c>
      <c r="H51" s="5" t="s">
        <v>39</v>
      </c>
      <c r="I51" s="5" t="s">
        <v>247</v>
      </c>
    </row>
    <row r="52" customFormat="false" ht="45.75" hidden="false" customHeight="true" outlineLevel="0" collapsed="false">
      <c r="A52" s="5" t="s">
        <v>208</v>
      </c>
      <c r="B52" s="5" t="s">
        <v>248</v>
      </c>
      <c r="C52" s="5" t="s">
        <v>249</v>
      </c>
      <c r="D52" s="5" t="s">
        <v>77</v>
      </c>
      <c r="E52" s="5" t="s">
        <v>17</v>
      </c>
      <c r="F52" s="7" t="s">
        <v>225</v>
      </c>
      <c r="G52" s="5" t="s">
        <v>97</v>
      </c>
      <c r="H52" s="5" t="s">
        <v>67</v>
      </c>
      <c r="I52" s="5" t="s">
        <v>250</v>
      </c>
    </row>
    <row r="53" customFormat="false" ht="45.75" hidden="false" customHeight="true" outlineLevel="0" collapsed="false">
      <c r="A53" s="5" t="s">
        <v>208</v>
      </c>
      <c r="B53" s="5" t="s">
        <v>251</v>
      </c>
      <c r="C53" s="5" t="s">
        <v>252</v>
      </c>
      <c r="D53" s="5" t="s">
        <v>253</v>
      </c>
      <c r="E53" s="5" t="s">
        <v>17</v>
      </c>
      <c r="F53" s="7" t="s">
        <v>254</v>
      </c>
      <c r="G53" s="5" t="s">
        <v>17</v>
      </c>
      <c r="H53" s="5" t="s">
        <v>17</v>
      </c>
      <c r="I53" s="5" t="s">
        <v>255</v>
      </c>
    </row>
    <row r="54" customFormat="false" ht="21.75" hidden="false" customHeight="true" outlineLevel="0" collapsed="false">
      <c r="A54" s="4" t="s">
        <v>11</v>
      </c>
      <c r="B54" s="4"/>
      <c r="C54" s="4"/>
      <c r="D54" s="4"/>
      <c r="E54" s="4"/>
      <c r="F54" s="4"/>
      <c r="G54" s="4"/>
      <c r="H54" s="4"/>
      <c r="I54" s="4"/>
    </row>
    <row r="55" customFormat="false" ht="45.75" hidden="false" customHeight="true" outlineLevel="0" collapsed="false">
      <c r="A55" s="5" t="s">
        <v>256</v>
      </c>
      <c r="B55" s="5" t="s">
        <v>257</v>
      </c>
      <c r="C55" s="5" t="s">
        <v>258</v>
      </c>
      <c r="D55" s="5" t="s">
        <v>77</v>
      </c>
      <c r="E55" s="6" t="s">
        <v>259</v>
      </c>
      <c r="F55" s="5" t="s">
        <v>17</v>
      </c>
      <c r="G55" s="5" t="s">
        <v>260</v>
      </c>
      <c r="H55" s="5" t="s">
        <v>261</v>
      </c>
      <c r="I55" s="5" t="s">
        <v>262</v>
      </c>
    </row>
    <row r="56" customFormat="false" ht="45.75" hidden="false" customHeight="true" outlineLevel="0" collapsed="false">
      <c r="A56" s="5" t="s">
        <v>256</v>
      </c>
      <c r="B56" s="5" t="s">
        <v>263</v>
      </c>
      <c r="C56" s="5" t="s">
        <v>264</v>
      </c>
      <c r="D56" s="5" t="s">
        <v>245</v>
      </c>
      <c r="E56" s="6" t="s">
        <v>170</v>
      </c>
      <c r="F56" s="5" t="s">
        <v>17</v>
      </c>
      <c r="G56" s="5" t="s">
        <v>265</v>
      </c>
      <c r="H56" s="5" t="s">
        <v>39</v>
      </c>
      <c r="I56" s="5" t="s">
        <v>266</v>
      </c>
    </row>
    <row r="57" customFormat="false" ht="45.75" hidden="false" customHeight="true" outlineLevel="0" collapsed="false">
      <c r="A57" s="5" t="s">
        <v>256</v>
      </c>
      <c r="B57" s="5" t="s">
        <v>267</v>
      </c>
      <c r="C57" s="5" t="s">
        <v>268</v>
      </c>
      <c r="D57" s="5" t="s">
        <v>269</v>
      </c>
      <c r="E57" s="6" t="s">
        <v>29</v>
      </c>
      <c r="F57" s="5" t="s">
        <v>17</v>
      </c>
      <c r="G57" s="5" t="s">
        <v>270</v>
      </c>
      <c r="H57" s="5" t="s">
        <v>39</v>
      </c>
      <c r="I57" s="5" t="s">
        <v>271</v>
      </c>
    </row>
    <row r="58" customFormat="false" ht="45.75" hidden="false" customHeight="true" outlineLevel="0" collapsed="false">
      <c r="A58" s="5" t="s">
        <v>256</v>
      </c>
      <c r="B58" s="5" t="s">
        <v>272</v>
      </c>
      <c r="C58" s="5" t="s">
        <v>273</v>
      </c>
      <c r="D58" s="5" t="s">
        <v>77</v>
      </c>
      <c r="E58" s="6" t="s">
        <v>274</v>
      </c>
      <c r="F58" s="7" t="s">
        <v>275</v>
      </c>
      <c r="G58" s="5" t="s">
        <v>231</v>
      </c>
      <c r="H58" s="5" t="s">
        <v>276</v>
      </c>
      <c r="I58" s="5" t="s">
        <v>277</v>
      </c>
    </row>
    <row r="59" customFormat="false" ht="45.75" hidden="false" customHeight="true" outlineLevel="0" collapsed="false">
      <c r="A59" s="5" t="s">
        <v>256</v>
      </c>
      <c r="B59" s="5" t="s">
        <v>278</v>
      </c>
      <c r="C59" s="5" t="s">
        <v>279</v>
      </c>
      <c r="D59" s="5" t="s">
        <v>280</v>
      </c>
      <c r="E59" s="6" t="s">
        <v>170</v>
      </c>
      <c r="F59" s="5" t="s">
        <v>17</v>
      </c>
      <c r="G59" s="5" t="s">
        <v>265</v>
      </c>
      <c r="H59" s="5" t="s">
        <v>39</v>
      </c>
      <c r="I59" s="5" t="s">
        <v>281</v>
      </c>
    </row>
    <row r="60" customFormat="false" ht="45.75" hidden="false" customHeight="true" outlineLevel="0" collapsed="false">
      <c r="A60" s="5" t="s">
        <v>256</v>
      </c>
      <c r="B60" s="5" t="s">
        <v>282</v>
      </c>
      <c r="C60" s="5" t="s">
        <v>283</v>
      </c>
      <c r="D60" s="5" t="s">
        <v>284</v>
      </c>
      <c r="E60" s="6" t="s">
        <v>285</v>
      </c>
      <c r="F60" s="5" t="s">
        <v>17</v>
      </c>
      <c r="G60" s="5" t="s">
        <v>265</v>
      </c>
      <c r="H60" s="5" t="s">
        <v>39</v>
      </c>
      <c r="I60" s="5" t="s">
        <v>286</v>
      </c>
    </row>
    <row r="61" customFormat="false" ht="21.75" hidden="false" customHeight="true" outlineLevel="0" collapsed="false">
      <c r="A61" s="4" t="s">
        <v>11</v>
      </c>
      <c r="B61" s="4"/>
      <c r="C61" s="4"/>
      <c r="D61" s="4"/>
      <c r="E61" s="4"/>
      <c r="F61" s="4"/>
      <c r="G61" s="4"/>
      <c r="H61" s="4"/>
      <c r="I61" s="4"/>
    </row>
    <row r="62" customFormat="false" ht="45.75" hidden="false" customHeight="true" outlineLevel="0" collapsed="false">
      <c r="A62" s="5" t="s">
        <v>287</v>
      </c>
      <c r="B62" s="5" t="s">
        <v>288</v>
      </c>
      <c r="C62" s="5" t="s">
        <v>289</v>
      </c>
      <c r="D62" s="5" t="s">
        <v>64</v>
      </c>
      <c r="E62" s="5" t="s">
        <v>17</v>
      </c>
      <c r="F62" s="7" t="s">
        <v>290</v>
      </c>
      <c r="G62" s="5" t="s">
        <v>291</v>
      </c>
      <c r="H62" s="5" t="s">
        <v>67</v>
      </c>
      <c r="I62" s="5" t="s">
        <v>292</v>
      </c>
    </row>
    <row r="63" customFormat="false" ht="45.75" hidden="false" customHeight="true" outlineLevel="0" collapsed="false">
      <c r="A63" s="5" t="s">
        <v>287</v>
      </c>
      <c r="B63" s="5" t="s">
        <v>293</v>
      </c>
      <c r="C63" s="5" t="s">
        <v>294</v>
      </c>
      <c r="D63" s="5" t="s">
        <v>64</v>
      </c>
      <c r="E63" s="5" t="s">
        <v>17</v>
      </c>
      <c r="F63" s="7" t="s">
        <v>295</v>
      </c>
      <c r="G63" s="5" t="s">
        <v>291</v>
      </c>
      <c r="H63" s="5" t="s">
        <v>67</v>
      </c>
      <c r="I63" s="5" t="s">
        <v>296</v>
      </c>
    </row>
    <row r="64" customFormat="false" ht="45.75" hidden="false" customHeight="true" outlineLevel="0" collapsed="false">
      <c r="A64" s="5" t="s">
        <v>287</v>
      </c>
      <c r="B64" s="5" t="s">
        <v>297</v>
      </c>
      <c r="C64" s="5" t="s">
        <v>298</v>
      </c>
      <c r="D64" s="5" t="s">
        <v>64</v>
      </c>
      <c r="E64" s="5" t="s">
        <v>17</v>
      </c>
      <c r="F64" s="7" t="s">
        <v>299</v>
      </c>
      <c r="G64" s="5" t="s">
        <v>291</v>
      </c>
      <c r="H64" s="5" t="s">
        <v>67</v>
      </c>
      <c r="I64" s="5" t="s">
        <v>300</v>
      </c>
    </row>
    <row r="65" customFormat="false" ht="45.75" hidden="false" customHeight="true" outlineLevel="0" collapsed="false">
      <c r="A65" s="5" t="s">
        <v>287</v>
      </c>
      <c r="B65" s="5" t="s">
        <v>301</v>
      </c>
      <c r="C65" s="5" t="s">
        <v>229</v>
      </c>
      <c r="D65" s="5" t="s">
        <v>302</v>
      </c>
      <c r="E65" s="5" t="s">
        <v>17</v>
      </c>
      <c r="F65" s="7" t="s">
        <v>303</v>
      </c>
      <c r="G65" s="5" t="s">
        <v>304</v>
      </c>
      <c r="H65" s="5" t="s">
        <v>305</v>
      </c>
      <c r="I65" s="5" t="s">
        <v>306</v>
      </c>
    </row>
    <row r="66" customFormat="false" ht="45.75" hidden="false" customHeight="true" outlineLevel="0" collapsed="false">
      <c r="A66" s="5" t="s">
        <v>287</v>
      </c>
      <c r="B66" s="5" t="s">
        <v>307</v>
      </c>
      <c r="C66" s="5" t="s">
        <v>308</v>
      </c>
      <c r="D66" s="5" t="s">
        <v>302</v>
      </c>
      <c r="E66" s="5" t="s">
        <v>17</v>
      </c>
      <c r="F66" s="7" t="s">
        <v>309</v>
      </c>
      <c r="G66" s="5" t="s">
        <v>304</v>
      </c>
      <c r="H66" s="5" t="s">
        <v>310</v>
      </c>
      <c r="I66" s="5" t="s">
        <v>311</v>
      </c>
    </row>
    <row r="67" customFormat="false" ht="45.75" hidden="false" customHeight="true" outlineLevel="0" collapsed="false">
      <c r="A67" s="5" t="s">
        <v>287</v>
      </c>
      <c r="B67" s="5" t="s">
        <v>312</v>
      </c>
      <c r="C67" s="5" t="s">
        <v>313</v>
      </c>
      <c r="D67" s="5" t="s">
        <v>314</v>
      </c>
      <c r="E67" s="6" t="s">
        <v>315</v>
      </c>
      <c r="F67" s="7" t="s">
        <v>316</v>
      </c>
      <c r="G67" s="5" t="s">
        <v>317</v>
      </c>
      <c r="H67" s="5" t="s">
        <v>318</v>
      </c>
      <c r="I67" s="5" t="s">
        <v>319</v>
      </c>
    </row>
    <row r="68" customFormat="false" ht="45.75" hidden="false" customHeight="true" outlineLevel="0" collapsed="false">
      <c r="A68" s="5" t="s">
        <v>287</v>
      </c>
      <c r="B68" s="5" t="s">
        <v>320</v>
      </c>
      <c r="C68" s="5" t="s">
        <v>321</v>
      </c>
      <c r="D68" s="5" t="s">
        <v>322</v>
      </c>
      <c r="E68" s="6" t="s">
        <v>170</v>
      </c>
      <c r="F68" s="5" t="s">
        <v>17</v>
      </c>
      <c r="G68" s="5" t="s">
        <v>265</v>
      </c>
      <c r="H68" s="5" t="s">
        <v>323</v>
      </c>
      <c r="I68" s="5" t="s">
        <v>324</v>
      </c>
    </row>
    <row r="69" customFormat="false" ht="45.75" hidden="false" customHeight="true" outlineLevel="0" collapsed="false">
      <c r="A69" s="5" t="s">
        <v>287</v>
      </c>
      <c r="B69" s="5" t="s">
        <v>325</v>
      </c>
      <c r="C69" s="5" t="s">
        <v>326</v>
      </c>
      <c r="D69" s="5" t="s">
        <v>322</v>
      </c>
      <c r="E69" s="6" t="s">
        <v>170</v>
      </c>
      <c r="F69" s="5" t="s">
        <v>17</v>
      </c>
      <c r="G69" s="5" t="s">
        <v>327</v>
      </c>
      <c r="H69" s="5" t="s">
        <v>328</v>
      </c>
      <c r="I69" s="5" t="s">
        <v>329</v>
      </c>
    </row>
    <row r="70" customFormat="false" ht="45.75" hidden="false" customHeight="true" outlineLevel="0" collapsed="false">
      <c r="A70" s="5" t="s">
        <v>287</v>
      </c>
      <c r="B70" s="5" t="s">
        <v>330</v>
      </c>
      <c r="C70" s="5" t="s">
        <v>331</v>
      </c>
      <c r="D70" s="5" t="s">
        <v>332</v>
      </c>
      <c r="E70" s="6" t="s">
        <v>333</v>
      </c>
      <c r="F70" s="7" t="s">
        <v>225</v>
      </c>
      <c r="G70" s="5" t="s">
        <v>334</v>
      </c>
      <c r="H70" s="5" t="s">
        <v>335</v>
      </c>
      <c r="I70" s="5" t="s">
        <v>336</v>
      </c>
    </row>
    <row r="71" customFormat="false" ht="45.75" hidden="false" customHeight="true" outlineLevel="0" collapsed="false">
      <c r="A71" s="5" t="s">
        <v>287</v>
      </c>
      <c r="B71" s="5" t="s">
        <v>337</v>
      </c>
      <c r="C71" s="5" t="s">
        <v>338</v>
      </c>
      <c r="D71" s="5" t="s">
        <v>339</v>
      </c>
      <c r="E71" s="5" t="s">
        <v>17</v>
      </c>
      <c r="F71" s="7" t="s">
        <v>340</v>
      </c>
      <c r="G71" s="5" t="s">
        <v>334</v>
      </c>
      <c r="H71" s="5" t="s">
        <v>341</v>
      </c>
      <c r="I71" s="5" t="s">
        <v>342</v>
      </c>
    </row>
    <row r="72" customFormat="false" ht="45.75" hidden="false" customHeight="true" outlineLevel="0" collapsed="false">
      <c r="A72" s="5" t="s">
        <v>287</v>
      </c>
      <c r="B72" s="5" t="s">
        <v>343</v>
      </c>
      <c r="C72" s="5" t="s">
        <v>344</v>
      </c>
      <c r="D72" s="5" t="s">
        <v>345</v>
      </c>
      <c r="E72" s="6" t="s">
        <v>346</v>
      </c>
      <c r="F72" s="7" t="s">
        <v>347</v>
      </c>
      <c r="G72" s="5" t="s">
        <v>334</v>
      </c>
      <c r="H72" s="5" t="s">
        <v>341</v>
      </c>
      <c r="I72" s="5" t="s">
        <v>348</v>
      </c>
    </row>
    <row r="73" customFormat="false" ht="45.75" hidden="false" customHeight="true" outlineLevel="0" collapsed="false">
      <c r="A73" s="5" t="s">
        <v>287</v>
      </c>
      <c r="B73" s="5" t="s">
        <v>349</v>
      </c>
      <c r="C73" s="5" t="s">
        <v>350</v>
      </c>
      <c r="D73" s="5" t="s">
        <v>345</v>
      </c>
      <c r="E73" s="6" t="s">
        <v>351</v>
      </c>
      <c r="F73" s="7" t="s">
        <v>352</v>
      </c>
      <c r="G73" s="5" t="s">
        <v>334</v>
      </c>
      <c r="H73" s="5" t="s">
        <v>115</v>
      </c>
      <c r="I73" s="5" t="s">
        <v>353</v>
      </c>
    </row>
    <row r="74" customFormat="false" ht="21.75" hidden="false" customHeight="true" outlineLevel="0" collapsed="false">
      <c r="A74" s="4" t="s">
        <v>11</v>
      </c>
      <c r="B74" s="4"/>
      <c r="C74" s="4"/>
      <c r="D74" s="4"/>
      <c r="E74" s="4"/>
      <c r="F74" s="4"/>
      <c r="G74" s="4"/>
      <c r="H74" s="4"/>
      <c r="I74" s="4"/>
    </row>
    <row r="75" customFormat="false" ht="45.75" hidden="false" customHeight="true" outlineLevel="0" collapsed="false">
      <c r="A75" s="5" t="s">
        <v>354</v>
      </c>
      <c r="B75" s="5" t="s">
        <v>355</v>
      </c>
      <c r="C75" s="5" t="s">
        <v>356</v>
      </c>
      <c r="D75" s="5" t="s">
        <v>357</v>
      </c>
      <c r="E75" s="6" t="s">
        <v>358</v>
      </c>
      <c r="F75" s="7" t="s">
        <v>359</v>
      </c>
      <c r="G75" s="5" t="s">
        <v>334</v>
      </c>
      <c r="H75" s="5" t="s">
        <v>360</v>
      </c>
      <c r="I75" s="5" t="s">
        <v>361</v>
      </c>
    </row>
    <row r="76" customFormat="false" ht="45.75" hidden="false" customHeight="true" outlineLevel="0" collapsed="false">
      <c r="A76" s="5" t="s">
        <v>354</v>
      </c>
      <c r="B76" s="5" t="s">
        <v>362</v>
      </c>
      <c r="C76" s="5" t="s">
        <v>363</v>
      </c>
      <c r="D76" s="5" t="s">
        <v>64</v>
      </c>
      <c r="E76" s="6" t="s">
        <v>364</v>
      </c>
      <c r="F76" s="7" t="s">
        <v>365</v>
      </c>
      <c r="G76" s="5" t="s">
        <v>291</v>
      </c>
      <c r="H76" s="5" t="s">
        <v>366</v>
      </c>
      <c r="I76" s="5" t="s">
        <v>367</v>
      </c>
    </row>
    <row r="77" customFormat="false" ht="45.75" hidden="false" customHeight="true" outlineLevel="0" collapsed="false">
      <c r="A77" s="5" t="s">
        <v>354</v>
      </c>
      <c r="B77" s="5" t="s">
        <v>368</v>
      </c>
      <c r="C77" s="5" t="s">
        <v>369</v>
      </c>
      <c r="D77" s="5" t="s">
        <v>64</v>
      </c>
      <c r="E77" s="6" t="s">
        <v>157</v>
      </c>
      <c r="F77" s="7" t="s">
        <v>370</v>
      </c>
      <c r="G77" s="5" t="s">
        <v>334</v>
      </c>
      <c r="H77" s="5" t="s">
        <v>371</v>
      </c>
      <c r="I77" s="5" t="s">
        <v>372</v>
      </c>
    </row>
    <row r="78" customFormat="false" ht="45.75" hidden="false" customHeight="true" outlineLevel="0" collapsed="false">
      <c r="A78" s="5" t="s">
        <v>354</v>
      </c>
      <c r="B78" s="5" t="s">
        <v>373</v>
      </c>
      <c r="C78" s="5" t="s">
        <v>374</v>
      </c>
      <c r="D78" s="5" t="s">
        <v>375</v>
      </c>
      <c r="E78" s="6" t="s">
        <v>376</v>
      </c>
      <c r="F78" s="7" t="s">
        <v>377</v>
      </c>
      <c r="G78" s="5" t="s">
        <v>291</v>
      </c>
      <c r="H78" s="5" t="s">
        <v>85</v>
      </c>
      <c r="I78" s="5" t="s">
        <v>378</v>
      </c>
    </row>
    <row r="79" customFormat="false" ht="45.75" hidden="false" customHeight="true" outlineLevel="0" collapsed="false">
      <c r="A79" s="5" t="s">
        <v>354</v>
      </c>
      <c r="B79" s="5" t="s">
        <v>379</v>
      </c>
      <c r="C79" s="5" t="s">
        <v>380</v>
      </c>
      <c r="D79" s="5" t="s">
        <v>375</v>
      </c>
      <c r="E79" s="6" t="s">
        <v>376</v>
      </c>
      <c r="F79" s="7" t="s">
        <v>381</v>
      </c>
      <c r="G79" s="5" t="s">
        <v>291</v>
      </c>
      <c r="H79" s="5" t="s">
        <v>382</v>
      </c>
      <c r="I79" s="5" t="s">
        <v>383</v>
      </c>
    </row>
    <row r="80" customFormat="false" ht="45.75" hidden="false" customHeight="true" outlineLevel="0" collapsed="false">
      <c r="A80" s="5" t="s">
        <v>354</v>
      </c>
      <c r="B80" s="5" t="s">
        <v>384</v>
      </c>
      <c r="C80" s="5" t="s">
        <v>385</v>
      </c>
      <c r="D80" s="5" t="s">
        <v>64</v>
      </c>
      <c r="E80" s="5" t="s">
        <v>17</v>
      </c>
      <c r="F80" s="7" t="s">
        <v>386</v>
      </c>
      <c r="G80" s="5" t="s">
        <v>291</v>
      </c>
      <c r="H80" s="5" t="s">
        <v>67</v>
      </c>
      <c r="I80" s="5" t="s">
        <v>387</v>
      </c>
    </row>
  </sheetData>
  <mergeCells count="10">
    <mergeCell ref="A1:I1"/>
    <mergeCell ref="A2:I2"/>
    <mergeCell ref="A5:I5"/>
    <mergeCell ref="A17:I17"/>
    <mergeCell ref="A26:I26"/>
    <mergeCell ref="A36:I36"/>
    <mergeCell ref="A44:I44"/>
    <mergeCell ref="A54:I54"/>
    <mergeCell ref="A61:I61"/>
    <mergeCell ref="A74:I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8" t="s">
        <v>388</v>
      </c>
      <c r="B1" s="8"/>
      <c r="C1" s="8"/>
      <c r="D1" s="8"/>
      <c r="E1" s="8"/>
      <c r="F1" s="8"/>
    </row>
    <row r="3" customFormat="false" ht="31.5" hidden="false" customHeight="true" outlineLevel="0" collapsed="false">
      <c r="A3" s="3" t="s">
        <v>389</v>
      </c>
      <c r="B3" s="3" t="s">
        <v>390</v>
      </c>
      <c r="C3" s="3" t="s">
        <v>391</v>
      </c>
      <c r="D3" s="3" t="s">
        <v>392</v>
      </c>
      <c r="E3" s="3" t="s">
        <v>393</v>
      </c>
      <c r="F3" s="3" t="s">
        <v>394</v>
      </c>
    </row>
    <row r="4" customFormat="false" ht="43.5" hidden="false" customHeight="true" outlineLevel="0" collapsed="false">
      <c r="A4" s="5" t="s">
        <v>395</v>
      </c>
      <c r="B4" s="5" t="s">
        <v>396</v>
      </c>
      <c r="C4" s="5" t="n">
        <v>12</v>
      </c>
      <c r="D4" s="5" t="s">
        <v>397</v>
      </c>
      <c r="E4" s="5" t="s">
        <v>398</v>
      </c>
      <c r="F4" s="5" t="s">
        <v>399</v>
      </c>
    </row>
    <row r="5" customFormat="false" ht="43.5" hidden="false" customHeight="true" outlineLevel="0" collapsed="false">
      <c r="A5" s="5" t="s">
        <v>400</v>
      </c>
      <c r="B5" s="5" t="s">
        <v>401</v>
      </c>
      <c r="C5" s="5" t="n">
        <v>8</v>
      </c>
      <c r="D5" s="5" t="s">
        <v>402</v>
      </c>
      <c r="E5" s="5" t="s">
        <v>403</v>
      </c>
      <c r="F5" s="5" t="s">
        <v>404</v>
      </c>
    </row>
    <row r="6" customFormat="false" ht="43.5" hidden="false" customHeight="true" outlineLevel="0" collapsed="false">
      <c r="A6" s="5" t="s">
        <v>405</v>
      </c>
      <c r="B6" s="5" t="s">
        <v>406</v>
      </c>
      <c r="C6" s="5" t="n">
        <v>10</v>
      </c>
      <c r="D6" s="5" t="s">
        <v>407</v>
      </c>
      <c r="E6" s="5" t="s">
        <v>408</v>
      </c>
      <c r="F6" s="5" t="s">
        <v>409</v>
      </c>
    </row>
    <row r="7" customFormat="false" ht="43.5" hidden="false" customHeight="true" outlineLevel="0" collapsed="false">
      <c r="A7" s="5" t="s">
        <v>410</v>
      </c>
      <c r="B7" s="5" t="s">
        <v>411</v>
      </c>
      <c r="C7" s="5" t="n">
        <v>8</v>
      </c>
      <c r="D7" s="5" t="s">
        <v>412</v>
      </c>
      <c r="E7" s="5" t="s">
        <v>413</v>
      </c>
      <c r="F7" s="5" t="s">
        <v>404</v>
      </c>
    </row>
    <row r="8" customFormat="false" ht="43.5" hidden="false" customHeight="true" outlineLevel="0" collapsed="false">
      <c r="A8" s="5" t="s">
        <v>414</v>
      </c>
      <c r="B8" s="5" t="s">
        <v>415</v>
      </c>
      <c r="C8" s="5" t="n">
        <v>6</v>
      </c>
      <c r="D8" s="5" t="s">
        <v>416</v>
      </c>
      <c r="E8" s="5" t="s">
        <v>417</v>
      </c>
      <c r="F8" s="5" t="s">
        <v>418</v>
      </c>
    </row>
    <row r="9" customFormat="false" ht="43.5" hidden="false" customHeight="true" outlineLevel="0" collapsed="false">
      <c r="A9" s="5" t="s">
        <v>419</v>
      </c>
      <c r="B9" s="5" t="s">
        <v>420</v>
      </c>
      <c r="C9" s="5" t="n">
        <v>4</v>
      </c>
      <c r="D9" s="5" t="s">
        <v>421</v>
      </c>
      <c r="E9" s="5" t="s">
        <v>422</v>
      </c>
      <c r="F9" s="5" t="s">
        <v>423</v>
      </c>
    </row>
    <row r="11" customFormat="false" ht="15" hidden="false" customHeight="false" outlineLevel="0" collapsed="false">
      <c r="A11" s="9" t="s">
        <v>424</v>
      </c>
      <c r="C11" s="10" t="n">
        <f aca="false">SUM(C4:C9)</f>
        <v>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5" min="3" style="0" width="24"/>
  </cols>
  <sheetData>
    <row r="1" customFormat="false" ht="27.75" hidden="false" customHeight="true" outlineLevel="0" collapsed="false">
      <c r="A1" s="8" t="s">
        <v>425</v>
      </c>
      <c r="B1" s="8"/>
      <c r="C1" s="8"/>
      <c r="D1" s="8"/>
      <c r="E1" s="8"/>
    </row>
    <row r="2" customFormat="false" ht="15" hidden="false" customHeight="false" outlineLevel="0" collapsed="false">
      <c r="A2" s="2" t="s">
        <v>426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427</v>
      </c>
      <c r="B4" s="3" t="s">
        <v>428</v>
      </c>
      <c r="C4" s="3" t="s">
        <v>429</v>
      </c>
      <c r="D4" s="3" t="s">
        <v>430</v>
      </c>
      <c r="E4" s="3" t="s">
        <v>431</v>
      </c>
    </row>
    <row r="5" customFormat="false" ht="21.75" hidden="false" customHeight="true" outlineLevel="0" collapsed="false">
      <c r="A5" s="5" t="s">
        <v>432</v>
      </c>
      <c r="B5" s="11" t="n">
        <v>0.25</v>
      </c>
      <c r="C5" s="5" t="n">
        <v>0</v>
      </c>
      <c r="D5" s="5" t="n">
        <v>3</v>
      </c>
      <c r="E5" s="12" t="n">
        <f aca="false">B5*D5</f>
        <v>0.75</v>
      </c>
    </row>
    <row r="6" customFormat="false" ht="21.75" hidden="false" customHeight="true" outlineLevel="0" collapsed="false">
      <c r="A6" s="5" t="s">
        <v>433</v>
      </c>
      <c r="B6" s="11" t="n">
        <v>0.13</v>
      </c>
      <c r="C6" s="5" t="n">
        <v>0</v>
      </c>
      <c r="D6" s="5" t="n">
        <v>8</v>
      </c>
      <c r="E6" s="12" t="n">
        <f aca="false">B6*D6</f>
        <v>1.04</v>
      </c>
    </row>
    <row r="7" customFormat="false" ht="21.75" hidden="false" customHeight="true" outlineLevel="0" collapsed="false">
      <c r="A7" s="5" t="s">
        <v>434</v>
      </c>
      <c r="B7" s="11" t="n">
        <v>1</v>
      </c>
      <c r="C7" s="5" t="n">
        <v>0</v>
      </c>
      <c r="D7" s="5" t="n">
        <v>1</v>
      </c>
      <c r="E7" s="12" t="n">
        <f aca="false">B7*D7</f>
        <v>1</v>
      </c>
    </row>
    <row r="8" customFormat="false" ht="21.75" hidden="false" customHeight="true" outlineLevel="0" collapsed="false">
      <c r="A8" s="5" t="s">
        <v>435</v>
      </c>
      <c r="B8" s="11" t="n">
        <v>0.4</v>
      </c>
      <c r="C8" s="5" t="n">
        <v>0</v>
      </c>
      <c r="D8" s="5" t="n">
        <v>1</v>
      </c>
      <c r="E8" s="12" t="n">
        <f aca="false">B8*D8</f>
        <v>0.4</v>
      </c>
    </row>
    <row r="9" customFormat="false" ht="21.75" hidden="false" customHeight="true" outlineLevel="0" collapsed="false">
      <c r="A9" s="5" t="s">
        <v>436</v>
      </c>
      <c r="B9" s="11" t="n">
        <v>0.04</v>
      </c>
      <c r="C9" s="5" t="n">
        <v>1</v>
      </c>
      <c r="D9" s="5" t="n">
        <v>1</v>
      </c>
      <c r="E9" s="12" t="n">
        <f aca="false">B9*D9</f>
        <v>0.04</v>
      </c>
    </row>
    <row r="10" customFormat="false" ht="21.75" hidden="false" customHeight="true" outlineLevel="0" collapsed="false">
      <c r="A10" s="5" t="s">
        <v>437</v>
      </c>
      <c r="B10" s="11" t="n">
        <v>0.22</v>
      </c>
      <c r="C10" s="5" t="n">
        <v>0</v>
      </c>
      <c r="D10" s="5" t="n">
        <v>0</v>
      </c>
      <c r="E10" s="12" t="n">
        <f aca="false">B10*D10</f>
        <v>0</v>
      </c>
    </row>
    <row r="11" customFormat="false" ht="21.75" hidden="false" customHeight="true" outlineLevel="0" collapsed="false">
      <c r="A11" s="5" t="s">
        <v>438</v>
      </c>
      <c r="B11" s="11" t="n">
        <v>0.05</v>
      </c>
      <c r="C11" s="5" t="n">
        <v>4</v>
      </c>
      <c r="D11" s="5" t="n">
        <v>12</v>
      </c>
      <c r="E11" s="12" t="n">
        <f aca="false">B11*D11</f>
        <v>0.6</v>
      </c>
    </row>
    <row r="12" customFormat="false" ht="21.75" hidden="false" customHeight="true" outlineLevel="0" collapsed="false">
      <c r="A12" s="5" t="s">
        <v>439</v>
      </c>
      <c r="B12" s="11" t="n">
        <v>0.2</v>
      </c>
      <c r="C12" s="5" t="n">
        <v>0</v>
      </c>
      <c r="D12" s="5" t="n">
        <v>1</v>
      </c>
      <c r="E12" s="12" t="n">
        <f aca="false">B12*D12</f>
        <v>0.2</v>
      </c>
    </row>
    <row r="13" customFormat="false" ht="21.75" hidden="false" customHeight="true" outlineLevel="0" collapsed="false">
      <c r="A13" s="5" t="s">
        <v>440</v>
      </c>
      <c r="B13" s="11" t="n">
        <v>0</v>
      </c>
      <c r="C13" s="5" t="n">
        <v>0</v>
      </c>
      <c r="D13" s="5" t="n">
        <v>1</v>
      </c>
      <c r="E13" s="12" t="n">
        <f aca="false">B13*D13</f>
        <v>0</v>
      </c>
    </row>
    <row r="14" customFormat="false" ht="15" hidden="false" customHeight="false" outlineLevel="0" collapsed="false">
      <c r="A14" s="13" t="s">
        <v>441</v>
      </c>
      <c r="B14" s="13"/>
      <c r="C14" s="13"/>
      <c r="D14" s="13"/>
      <c r="E14" s="14" t="n">
        <f aca="false">SUM(E5:E13)</f>
        <v>4.03</v>
      </c>
    </row>
    <row r="16" customFormat="false" ht="15" hidden="false" customHeight="false" outlineLevel="0" collapsed="false">
      <c r="A16" s="15" t="s">
        <v>442</v>
      </c>
      <c r="E16" s="16" t="n">
        <v>49</v>
      </c>
    </row>
    <row r="17" customFormat="false" ht="15" hidden="false" customHeight="false" outlineLevel="0" collapsed="false">
      <c r="A17" s="15" t="s">
        <v>443</v>
      </c>
      <c r="E17" s="17" t="n">
        <f aca="false">E16-E14</f>
        <v>44.97</v>
      </c>
    </row>
    <row r="18" customFormat="false" ht="15" hidden="false" customHeight="false" outlineLevel="0" collapsed="false">
      <c r="A18" s="15" t="s">
        <v>444</v>
      </c>
      <c r="E18" s="18" t="n">
        <f aca="false">(E16-E14)/E16</f>
        <v>0.917755102040816</v>
      </c>
    </row>
  </sheetData>
  <mergeCells count="3">
    <mergeCell ref="A1:E1"/>
    <mergeCell ref="A2:E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2026-05-14T19:50:41Z</dcterms:created>
  <dc:creator>openpyxl</dc:creator>
  <dc:description/>
  <dc:language>en-US</dc:language>
  <cp:lastModifiedBy/>
  <dcterms:modified xsi:type="dcterms:W3CDTF">2026-05-14T19:50:41Z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